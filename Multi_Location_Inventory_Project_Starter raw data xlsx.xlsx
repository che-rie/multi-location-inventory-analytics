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portfolio projects\Upwork portfolio projects\"/>
    </mc:Choice>
  </mc:AlternateContent>
  <xr:revisionPtr revIDLastSave="0" documentId="8_{A48BF46E-04A0-47BC-88F2-62329A2737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_HERE" sheetId="1" r:id="rId1"/>
    <sheet name="SalesOrders" sheetId="2" r:id="rId2"/>
    <sheet name="Inventory" sheetId="3" r:id="rId3"/>
    <sheet name="Locations" sheetId="4" r:id="rId4"/>
    <sheet name="Suppliers" sheetId="5" r:id="rId5"/>
    <sheet name="PurchaseOrders" sheetId="6" r:id="rId6"/>
    <sheet name="OnTheWater" sheetId="7" r:id="rId7"/>
    <sheet name="Assumptions" sheetId="8" r:id="rId8"/>
    <sheet name="Reservations" sheetId="9" r:id="rId9"/>
    <sheet name="Allocations" sheetId="10" r:id="rId10"/>
    <sheet name="TestCases" sheetId="11" r:id="rId11"/>
  </sheets>
  <definedNames>
    <definedName name="_xlnm._FilterDatabase" localSheetId="0" hidden="1">START_HERE!$A$1:$F$22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0" l="1"/>
  <c r="J2" i="7"/>
  <c r="H4" i="6"/>
  <c r="H3" i="6"/>
  <c r="H2" i="6"/>
  <c r="D4" i="11" s="1"/>
  <c r="E4" i="11" s="1"/>
  <c r="H9" i="3"/>
  <c r="H8" i="3"/>
  <c r="H7" i="3"/>
  <c r="H6" i="3"/>
  <c r="H5" i="3"/>
  <c r="H4" i="3"/>
  <c r="H3" i="3"/>
  <c r="H2" i="3"/>
  <c r="D2" i="11" s="1"/>
  <c r="E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ATP = On Hand - Committed - Protected Minimum - Active Reservations. Avoid subtracting reservations twice if committed quantity already includes them.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Open unshipped quantity excludes quantities already shipped to OTW. If data defines open quantity differently, adapt the formula and reconciliation rule.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In a production model, reservations should be treated as a persistent transaction ledger and reconciled to supply sources. This workbook is a starter, not yet an automated reservation engine.</t>
        </r>
      </text>
    </comment>
  </commentList>
</comments>
</file>

<file path=xl/sharedStrings.xml><?xml version="1.0" encoding="utf-8"?>
<sst xmlns="http://schemas.openxmlformats.org/spreadsheetml/2006/main" count="298" uniqueCount="204">
  <si>
    <t>MULTI-LOCATION INVENTORY ALLOCATION &amp; PURCHASING INTELLIGENCE</t>
  </si>
  <si>
    <t>Purpose</t>
  </si>
  <si>
    <t>Build a testable inventory decision-support model using fictional data. This is a portfolio simulation, not a live inventory system.</t>
  </si>
  <si>
    <t>Build sequence</t>
  </si>
  <si>
    <t>1</t>
  </si>
  <si>
    <t>Review this sheet and inspect each source table.</t>
  </si>
  <si>
    <t>2</t>
  </si>
  <si>
    <t>Calculate available-to-promise (ATP) inventory after commitments and protected stock.</t>
  </si>
  <si>
    <t>3</t>
  </si>
  <si>
    <t>Add allocation rows that link each order line to a specific supply source.</t>
  </si>
  <si>
    <t>4</t>
  </si>
  <si>
    <t>Record confirmed reservations separately; do not rely on formulas alone to remember promises.</t>
  </si>
  <si>
    <t>5</t>
  </si>
  <si>
    <t>Reconcile PO and OnTheWater lines so the same units are not counted twice.</t>
  </si>
  <si>
    <t>6</t>
  </si>
  <si>
    <t>Compare supplier delivery scenarios and test edge cases.</t>
  </si>
  <si>
    <t>7</t>
  </si>
  <si>
    <t>Build a summary dashboard only after the calculations pass tests.</t>
  </si>
  <si>
    <t>Important modeling rules</t>
  </si>
  <si>
    <t>•</t>
  </si>
  <si>
    <t>Quote lines do not consume inventory; only confirmed orders are included in the demand queue.</t>
  </si>
  <si>
    <t>Available stock = on hand − existing commitments − protected/minimum stock − active reservations not already reflected in commitments.</t>
  </si>
  <si>
    <t>A PO line shipped to OTW must not be counted as unshipped open-PO supply for the same quantity.</t>
  </si>
  <si>
    <t>A supply source can only be allocated up to its remaining unreserved quantity.</t>
  </si>
  <si>
    <t>Arrival dates must be compared with each order's required date; quantity alone does not mean an order is fulfillable on time.</t>
  </si>
  <si>
    <t>Allocation priority is a business rule. For this simulation, confirmed orders are sorted by required date, then order ID.</t>
  </si>
  <si>
    <t>SO_Line_ID</t>
  </si>
  <si>
    <t>Order_ID</t>
  </si>
  <si>
    <t>Order_Type</t>
  </si>
  <si>
    <t>Order_Status</t>
  </si>
  <si>
    <t>Order_Date</t>
  </si>
  <si>
    <t>Required_Date</t>
  </si>
  <si>
    <t>Destination_Location</t>
  </si>
  <si>
    <t>Item_ID</t>
  </si>
  <si>
    <t>Order_Qty</t>
  </si>
  <si>
    <t>Priority</t>
  </si>
  <si>
    <t>SOL-1001</t>
  </si>
  <si>
    <t>SO-1001</t>
  </si>
  <si>
    <t>Sales Order</t>
  </si>
  <si>
    <t>Confirmed</t>
  </si>
  <si>
    <t>ST-EAST</t>
  </si>
  <si>
    <t>SKU-A</t>
  </si>
  <si>
    <t>SOL-1002</t>
  </si>
  <si>
    <t>SO-1002</t>
  </si>
  <si>
    <t>ST-NORTH</t>
  </si>
  <si>
    <t>SOL-1003</t>
  </si>
  <si>
    <t>QT-2001</t>
  </si>
  <si>
    <t>Quote</t>
  </si>
  <si>
    <t>Open</t>
  </si>
  <si>
    <t>ST-WEST</t>
  </si>
  <si>
    <t>SKU-B</t>
  </si>
  <si>
    <t>SOL-1004</t>
  </si>
  <si>
    <t>SO-1003</t>
  </si>
  <si>
    <t>SOL-1005</t>
  </si>
  <si>
    <t>SO-1004</t>
  </si>
  <si>
    <t>SKU-C</t>
  </si>
  <si>
    <t>SOL-1006</t>
  </si>
  <si>
    <t>SO-1005</t>
  </si>
  <si>
    <t>ST-SOUTH</t>
  </si>
  <si>
    <t>Inventory_ID</t>
  </si>
  <si>
    <t>Location_ID</t>
  </si>
  <si>
    <t>On_Hand</t>
  </si>
  <si>
    <t>Committed_Qty</t>
  </si>
  <si>
    <t>Protected_Min_Qty</t>
  </si>
  <si>
    <t>Active_Reservation_Qty</t>
  </si>
  <si>
    <t>ATP_Qty</t>
  </si>
  <si>
    <t>INV-001</t>
  </si>
  <si>
    <t>INV-002</t>
  </si>
  <si>
    <t>INV-003</t>
  </si>
  <si>
    <t>DC-CENTRAL</t>
  </si>
  <si>
    <t>INV-004</t>
  </si>
  <si>
    <t>INV-005</t>
  </si>
  <si>
    <t>INV-006</t>
  </si>
  <si>
    <t>INV-007</t>
  </si>
  <si>
    <t>INV-008</t>
  </si>
  <si>
    <t>Location_Name</t>
  </si>
  <si>
    <t>Region</t>
  </si>
  <si>
    <t>Location_Type</t>
  </si>
  <si>
    <t>Latitude</t>
  </si>
  <si>
    <t>Longitude</t>
  </si>
  <si>
    <t>Transfer_Cost_Per_Mile</t>
  </si>
  <si>
    <t>Default_Transit_Days</t>
  </si>
  <si>
    <t>East Branch</t>
  </si>
  <si>
    <t>East</t>
  </si>
  <si>
    <t>Store</t>
  </si>
  <si>
    <t>North Branch</t>
  </si>
  <si>
    <t>North</t>
  </si>
  <si>
    <t>West Branch</t>
  </si>
  <si>
    <t>West</t>
  </si>
  <si>
    <t>South Branch</t>
  </si>
  <si>
    <t>South</t>
  </si>
  <si>
    <t>Central Distribution Center</t>
  </si>
  <si>
    <t>Central</t>
  </si>
  <si>
    <t>DC</t>
  </si>
  <si>
    <t>Supplier_ID</t>
  </si>
  <si>
    <t>Supplier_Name</t>
  </si>
  <si>
    <t>Origin_Region</t>
  </si>
  <si>
    <t>Production_Lead_Days</t>
  </si>
  <si>
    <t>Freight_Mode</t>
  </si>
  <si>
    <t>Transit_Days_To_DC</t>
  </si>
  <si>
    <t>Customs_Buffer_Days</t>
  </si>
  <si>
    <t>Domestic_Days</t>
  </si>
  <si>
    <t>Estimated_Freight_Cost</t>
  </si>
  <si>
    <t>Assumption_Notes</t>
  </si>
  <si>
    <t>SUP-EU</t>
  </si>
  <si>
    <t>Northstar Components</t>
  </si>
  <si>
    <t>Europe</t>
  </si>
  <si>
    <t>Air</t>
  </si>
  <si>
    <t>Fictional scenario; editable assumptions</t>
  </si>
  <si>
    <t>SUP-AS</t>
  </si>
  <si>
    <t>Pacific Parts Co</t>
  </si>
  <si>
    <t>Asia</t>
  </si>
  <si>
    <t>Ocean</t>
  </si>
  <si>
    <t>SUP-US</t>
  </si>
  <si>
    <t>Domestic Supply Group</t>
  </si>
  <si>
    <t>United States</t>
  </si>
  <si>
    <t>Truck</t>
  </si>
  <si>
    <t>PO_Line_ID</t>
  </si>
  <si>
    <t>PO_ID</t>
  </si>
  <si>
    <t>Ordered_Qty</t>
  </si>
  <si>
    <t>Received_Qty</t>
  </si>
  <si>
    <t>Shipped_To_OTW_Qty</t>
  </si>
  <si>
    <t>Open_Unshipped_Qty</t>
  </si>
  <si>
    <t>Expected_Arrival_Date</t>
  </si>
  <si>
    <t>Status</t>
  </si>
  <si>
    <t>POL-001</t>
  </si>
  <si>
    <t>PO-501</t>
  </si>
  <si>
    <t>Partially Shipped</t>
  </si>
  <si>
    <t>POL-002</t>
  </si>
  <si>
    <t>PO-502</t>
  </si>
  <si>
    <t>POL-003</t>
  </si>
  <si>
    <t>PO-503</t>
  </si>
  <si>
    <t>Shipment_Line_ID</t>
  </si>
  <si>
    <t>Container_ID</t>
  </si>
  <si>
    <t>Shipped_Qty</t>
  </si>
  <si>
    <t>OTW_Open_Qty</t>
  </si>
  <si>
    <t>OTW-001</t>
  </si>
  <si>
    <t>CONT-EU-01</t>
  </si>
  <si>
    <t>Assumption_ID</t>
  </si>
  <si>
    <t>Rule_Name</t>
  </si>
  <si>
    <t>Value</t>
  </si>
  <si>
    <t>Unit</t>
  </si>
  <si>
    <t>Explanation</t>
  </si>
  <si>
    <t>ASM-001</t>
  </si>
  <si>
    <t>Order allocation priority</t>
  </si>
  <si>
    <t>Required date then priority</t>
  </si>
  <si>
    <t>Text</t>
  </si>
  <si>
    <t>Only confirmed sales orders consume inventory in the first version.</t>
  </si>
  <si>
    <t>ASM-002</t>
  </si>
  <si>
    <t>Default transfer buffer</t>
  </si>
  <si>
    <t>Days</t>
  </si>
  <si>
    <t>Add to estimated transit days if handling time is needed.</t>
  </si>
  <si>
    <t>ASM-003</t>
  </si>
  <si>
    <t>Allow split shipments</t>
  </si>
  <si>
    <t>Yes</t>
  </si>
  <si>
    <t>Boolean</t>
  </si>
  <si>
    <t>A sales-order line may be fulfilled from more than one source.</t>
  </si>
  <si>
    <t>ASM-004</t>
  </si>
  <si>
    <t>Quote reservation behavior</t>
  </si>
  <si>
    <t>No automatic allocation</t>
  </si>
  <si>
    <t>Quotes are excluded from committed demand unless explicitly converted.</t>
  </si>
  <si>
    <t>ASM-005</t>
  </si>
  <si>
    <t>PO/OTW deduplication</t>
  </si>
  <si>
    <t>Exclude shipped quantity from open PO</t>
  </si>
  <si>
    <t>Shipped quantities are represented by OTW rows, not unshipped PO supply.</t>
  </si>
  <si>
    <t>Reservation_ID</t>
  </si>
  <si>
    <t>Supply_Source_Type</t>
  </si>
  <si>
    <t>Supply_Source_ID</t>
  </si>
  <si>
    <t>Location_or_Destination</t>
  </si>
  <si>
    <t>Qty_Reserved</t>
  </si>
  <si>
    <t>Reservation_Status</t>
  </si>
  <si>
    <t>Created_Date</t>
  </si>
  <si>
    <t>Notes</t>
  </si>
  <si>
    <t>RES-001</t>
  </si>
  <si>
    <t>Inventory</t>
  </si>
  <si>
    <t>Example reservation for testing; adjust active reservation qty in Inventory consistently.</t>
  </si>
  <si>
    <t>Allocation_ID</t>
  </si>
  <si>
    <t>Source_Location</t>
  </si>
  <si>
    <t>Allocated_Qty</t>
  </si>
  <si>
    <t>On_Time_Flag</t>
  </si>
  <si>
    <t>AL-001</t>
  </si>
  <si>
    <t>Example only; allocation quantities are not yet automated.</t>
  </si>
  <si>
    <t>Test_ID</t>
  </si>
  <si>
    <t>Scenario</t>
  </si>
  <si>
    <t>Expected_Result</t>
  </si>
  <si>
    <t>Actual_Result</t>
  </si>
  <si>
    <t>Pass_Fail</t>
  </si>
  <si>
    <t>T-001</t>
  </si>
  <si>
    <t>ATP calculation</t>
  </si>
  <si>
    <t>INV-001 ATP = 40</t>
  </si>
  <si>
    <t>55 on hand - 10 committed - 5 protected - 0 active reservations = 40</t>
  </si>
  <si>
    <t>T-002</t>
  </si>
  <si>
    <t>Quote handling</t>
  </si>
  <si>
    <t>SOL-1003 excluded from confirmed demand</t>
  </si>
  <si>
    <t>Manual check</t>
  </si>
  <si>
    <t>T-003</t>
  </si>
  <si>
    <t>20 shipped units are OTW; PO open-unshipped excludes those 20</t>
  </si>
  <si>
    <t>PO ordered 50 - shipped 20 - received 0 = 30 open unshipped</t>
  </si>
  <si>
    <t>T-004</t>
  </si>
  <si>
    <t>No double allocation</t>
  </si>
  <si>
    <t>Total allocations against a source cannot exceed source available quantity</t>
  </si>
  <si>
    <t>T-005</t>
  </si>
  <si>
    <t>Late arrival</t>
  </si>
  <si>
    <t>Supply arriving after required date is not counted as on-time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</si>
</sst>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17365D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Orders" displayName="tblSalesOrders" ref="A1:J7">
  <autoFilter ref="A1:J7" xr:uid="{00000000-0009-0000-0100-000001000000}"/>
  <tableColumns count="10">
    <tableColumn id="1" xr3:uid="{00000000-0010-0000-0000-000001000000}" name="SO_Line_ID"/>
    <tableColumn id="2" xr3:uid="{00000000-0010-0000-0000-000002000000}" name="Order_ID"/>
    <tableColumn id="3" xr3:uid="{00000000-0010-0000-0000-000003000000}" name="Order_Type"/>
    <tableColumn id="4" xr3:uid="{00000000-0010-0000-0000-000004000000}" name="Order_Status"/>
    <tableColumn id="5" xr3:uid="{00000000-0010-0000-0000-000005000000}" name="Order_Date"/>
    <tableColumn id="6" xr3:uid="{00000000-0010-0000-0000-000006000000}" name="Required_Date"/>
    <tableColumn id="7" xr3:uid="{00000000-0010-0000-0000-000007000000}" name="Destination_Location"/>
    <tableColumn id="8" xr3:uid="{00000000-0010-0000-0000-000008000000}" name="Item_ID"/>
    <tableColumn id="9" xr3:uid="{00000000-0010-0000-0000-000009000000}" name="Order_Qty"/>
    <tableColumn id="10" xr3:uid="{00000000-0010-0000-0000-00000A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ventory" displayName="tblInventory" ref="A1:H9">
  <autoFilter ref="A1:H9" xr:uid="{00000000-0009-0000-0100-000002000000}"/>
  <tableColumns count="8">
    <tableColumn id="1" xr3:uid="{00000000-0010-0000-0100-000001000000}" name="Inventory_ID"/>
    <tableColumn id="2" xr3:uid="{00000000-0010-0000-0100-000002000000}" name="Location_ID"/>
    <tableColumn id="3" xr3:uid="{00000000-0010-0000-0100-000003000000}" name="Item_ID"/>
    <tableColumn id="4" xr3:uid="{00000000-0010-0000-0100-000004000000}" name="On_Hand"/>
    <tableColumn id="5" xr3:uid="{00000000-0010-0000-0100-000005000000}" name="Committed_Qty"/>
    <tableColumn id="6" xr3:uid="{00000000-0010-0000-0100-000006000000}" name="Protected_Min_Qty"/>
    <tableColumn id="7" xr3:uid="{00000000-0010-0000-0100-000007000000}" name="Active_Reservation_Qty"/>
    <tableColumn id="8" xr3:uid="{00000000-0010-0000-0100-000008000000}" name="ATP_Q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ocations" displayName="tblLocations" ref="A1:H6">
  <autoFilter ref="A1:H6" xr:uid="{00000000-0009-0000-0100-000003000000}"/>
  <tableColumns count="8">
    <tableColumn id="1" xr3:uid="{00000000-0010-0000-0200-000001000000}" name="Location_ID"/>
    <tableColumn id="2" xr3:uid="{00000000-0010-0000-0200-000002000000}" name="Location_Name"/>
    <tableColumn id="3" xr3:uid="{00000000-0010-0000-0200-000003000000}" name="Region"/>
    <tableColumn id="4" xr3:uid="{00000000-0010-0000-0200-000004000000}" name="Location_Type"/>
    <tableColumn id="5" xr3:uid="{00000000-0010-0000-0200-000005000000}" name="Latitude"/>
    <tableColumn id="6" xr3:uid="{00000000-0010-0000-0200-000006000000}" name="Longitude"/>
    <tableColumn id="7" xr3:uid="{00000000-0010-0000-0200-000007000000}" name="Transfer_Cost_Per_Mile"/>
    <tableColumn id="8" xr3:uid="{00000000-0010-0000-0200-000008000000}" name="Default_Transit_Day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uppliers" displayName="tblSuppliers" ref="A1:J4">
  <autoFilter ref="A1:J4" xr:uid="{00000000-0009-0000-0100-000004000000}"/>
  <tableColumns count="10">
    <tableColumn id="1" xr3:uid="{00000000-0010-0000-0300-000001000000}" name="Supplier_ID"/>
    <tableColumn id="2" xr3:uid="{00000000-0010-0000-0300-000002000000}" name="Supplier_Name"/>
    <tableColumn id="3" xr3:uid="{00000000-0010-0000-0300-000003000000}" name="Origin_Region"/>
    <tableColumn id="4" xr3:uid="{00000000-0010-0000-0300-000004000000}" name="Production_Lead_Days"/>
    <tableColumn id="5" xr3:uid="{00000000-0010-0000-0300-000005000000}" name="Freight_Mode"/>
    <tableColumn id="6" xr3:uid="{00000000-0010-0000-0300-000006000000}" name="Transit_Days_To_DC"/>
    <tableColumn id="7" xr3:uid="{00000000-0010-0000-0300-000007000000}" name="Customs_Buffer_Days"/>
    <tableColumn id="8" xr3:uid="{00000000-0010-0000-0300-000008000000}" name="Domestic_Days"/>
    <tableColumn id="9" xr3:uid="{00000000-0010-0000-0300-000009000000}" name="Estimated_Freight_Cost"/>
    <tableColumn id="10" xr3:uid="{00000000-0010-0000-0300-00000A000000}" name="Assumption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urchaseOrders" displayName="tblPurchaseOrders" ref="A1:K4">
  <autoFilter ref="A1:K4" xr:uid="{00000000-0009-0000-0100-000005000000}"/>
  <tableColumns count="11">
    <tableColumn id="1" xr3:uid="{00000000-0010-0000-0400-000001000000}" name="PO_Line_ID"/>
    <tableColumn id="2" xr3:uid="{00000000-0010-0000-0400-000002000000}" name="PO_ID"/>
    <tableColumn id="3" xr3:uid="{00000000-0010-0000-0400-000003000000}" name="Supplier_ID"/>
    <tableColumn id="4" xr3:uid="{00000000-0010-0000-0400-000004000000}" name="Item_ID"/>
    <tableColumn id="5" xr3:uid="{00000000-0010-0000-0400-000005000000}" name="Ordered_Qty"/>
    <tableColumn id="6" xr3:uid="{00000000-0010-0000-0400-000006000000}" name="Received_Qty"/>
    <tableColumn id="7" xr3:uid="{00000000-0010-0000-0400-000007000000}" name="Shipped_To_OTW_Qty"/>
    <tableColumn id="8" xr3:uid="{00000000-0010-0000-0400-000008000000}" name="Open_Unshipped_Qty"/>
    <tableColumn id="9" xr3:uid="{00000000-0010-0000-0400-000009000000}" name="Expected_Arrival_Date"/>
    <tableColumn id="10" xr3:uid="{00000000-0010-0000-0400-00000A000000}" name="Destination_Location"/>
    <tableColumn id="11" xr3:uid="{00000000-0010-0000-0400-00000B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OnTheWater" displayName="tblOnTheWater" ref="A1:J2">
  <autoFilter ref="A1:J2" xr:uid="{00000000-0009-0000-0100-000006000000}"/>
  <tableColumns count="10">
    <tableColumn id="1" xr3:uid="{00000000-0010-0000-0500-000001000000}" name="Shipment_Line_ID"/>
    <tableColumn id="2" xr3:uid="{00000000-0010-0000-0500-000002000000}" name="Container_ID"/>
    <tableColumn id="3" xr3:uid="{00000000-0010-0000-0500-000003000000}" name="PO_Line_ID"/>
    <tableColumn id="4" xr3:uid="{00000000-0010-0000-0500-000004000000}" name="Supplier_ID"/>
    <tableColumn id="5" xr3:uid="{00000000-0010-0000-0500-000005000000}" name="Item_ID"/>
    <tableColumn id="6" xr3:uid="{00000000-0010-0000-0500-000006000000}" name="Shipped_Qty"/>
    <tableColumn id="7" xr3:uid="{00000000-0010-0000-0500-000007000000}" name="Expected_Arrival_Date"/>
    <tableColumn id="8" xr3:uid="{00000000-0010-0000-0500-000008000000}" name="Destination_Location"/>
    <tableColumn id="9" xr3:uid="{00000000-0010-0000-0500-000009000000}" name="Received_Qty"/>
    <tableColumn id="10" xr3:uid="{00000000-0010-0000-0500-00000A000000}" name="OTW_Open_Q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ssumptions" displayName="tblAssumptions" ref="A1:E6">
  <autoFilter ref="A1:E6" xr:uid="{00000000-0009-0000-0100-000007000000}"/>
  <tableColumns count="5">
    <tableColumn id="1" xr3:uid="{00000000-0010-0000-0600-000001000000}" name="Assumption_ID"/>
    <tableColumn id="2" xr3:uid="{00000000-0010-0000-0600-000002000000}" name="Rule_Name"/>
    <tableColumn id="3" xr3:uid="{00000000-0010-0000-0600-000003000000}" name="Value"/>
    <tableColumn id="4" xr3:uid="{00000000-0010-0000-0600-000004000000}" name="Unit"/>
    <tableColumn id="5" xr3:uid="{00000000-0010-0000-0600-000005000000}" name="Explan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servations" displayName="tblReservations" ref="A1:J2">
  <autoFilter ref="A1:J2" xr:uid="{00000000-0009-0000-0100-000008000000}"/>
  <tableColumns count="10">
    <tableColumn id="1" xr3:uid="{00000000-0010-0000-0700-000001000000}" name="Reservation_ID"/>
    <tableColumn id="2" xr3:uid="{00000000-0010-0000-0700-000002000000}" name="SO_Line_ID"/>
    <tableColumn id="3" xr3:uid="{00000000-0010-0000-0700-000003000000}" name="Supply_Source_Type"/>
    <tableColumn id="4" xr3:uid="{00000000-0010-0000-0700-000004000000}" name="Supply_Source_ID"/>
    <tableColumn id="5" xr3:uid="{00000000-0010-0000-0700-000005000000}" name="Item_ID"/>
    <tableColumn id="6" xr3:uid="{00000000-0010-0000-0700-000006000000}" name="Location_or_Destination"/>
    <tableColumn id="7" xr3:uid="{00000000-0010-0000-0700-000007000000}" name="Qty_Reserved"/>
    <tableColumn id="8" xr3:uid="{00000000-0010-0000-0700-000008000000}" name="Reservation_Status"/>
    <tableColumn id="9" xr3:uid="{00000000-0010-0000-0700-000009000000}" name="Created_Date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llocations" displayName="tblAllocations" ref="A1:K2">
  <autoFilter ref="A1:K2" xr:uid="{00000000-0009-0000-0100-000009000000}"/>
  <tableColumns count="11">
    <tableColumn id="1" xr3:uid="{00000000-0010-0000-0800-000001000000}" name="Allocation_ID"/>
    <tableColumn id="2" xr3:uid="{00000000-0010-0000-0800-000002000000}" name="SO_Line_ID"/>
    <tableColumn id="3" xr3:uid="{00000000-0010-0000-0800-000003000000}" name="Item_ID"/>
    <tableColumn id="4" xr3:uid="{00000000-0010-0000-0800-000004000000}" name="Supply_Source_Type"/>
    <tableColumn id="5" xr3:uid="{00000000-0010-0000-0800-000005000000}" name="Supply_Source_ID"/>
    <tableColumn id="6" xr3:uid="{00000000-0010-0000-0800-000006000000}" name="Source_Location"/>
    <tableColumn id="7" xr3:uid="{00000000-0010-0000-0800-000007000000}" name="Allocated_Qty"/>
    <tableColumn id="8" xr3:uid="{00000000-0010-0000-0800-000008000000}" name="Expected_Arrival_Date"/>
    <tableColumn id="9" xr3:uid="{00000000-0010-0000-0800-000009000000}" name="Required_Date"/>
    <tableColumn id="10" xr3:uid="{00000000-0010-0000-0800-00000A000000}" name="On_Time_Flag"/>
    <tableColumn id="11" xr3:uid="{00000000-0010-0000-0800-00000B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TestCases" displayName="tblTestCases" ref="A1:F6">
  <autoFilter ref="A1:F6" xr:uid="{00000000-0009-0000-0100-00000A000000}"/>
  <tableColumns count="6">
    <tableColumn id="1" xr3:uid="{00000000-0010-0000-0900-000001000000}" name="Test_ID"/>
    <tableColumn id="2" xr3:uid="{00000000-0010-0000-0900-000002000000}" name="Scenario"/>
    <tableColumn id="3" xr3:uid="{00000000-0010-0000-0900-000003000000}" name="Expected_Result"/>
    <tableColumn id="4" xr3:uid="{00000000-0010-0000-0900-000004000000}" name="Actual_Result"/>
    <tableColumn id="5" xr3:uid="{00000000-0010-0000-0900-000005000000}" name="Pass_Fail"/>
    <tableColumn id="6" xr3:uid="{00000000-0010-0000-09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>
      <selection sqref="A1:F1"/>
    </sheetView>
  </sheetViews>
  <sheetFormatPr defaultRowHeight="14.5" x14ac:dyDescent="0.35"/>
  <cols>
    <col min="1" max="1" width="15" customWidth="1"/>
    <col min="2" max="6" width="22" customWidth="1"/>
  </cols>
  <sheetData>
    <row r="1" spans="1:6" x14ac:dyDescent="0.35">
      <c r="A1" s="9" t="s">
        <v>0</v>
      </c>
      <c r="B1" s="8"/>
      <c r="C1" s="8"/>
      <c r="D1" s="8"/>
      <c r="E1" s="8"/>
      <c r="F1" s="8"/>
    </row>
    <row r="2" spans="1:6" x14ac:dyDescent="0.35">
      <c r="A2" s="1"/>
      <c r="B2" s="1"/>
      <c r="C2" s="1"/>
      <c r="D2" s="1"/>
      <c r="E2" s="1"/>
      <c r="F2" s="1"/>
    </row>
    <row r="3" spans="1:6" ht="15.5" x14ac:dyDescent="0.35">
      <c r="A3" s="2" t="s">
        <v>1</v>
      </c>
      <c r="B3" s="1"/>
      <c r="C3" s="1"/>
      <c r="D3" s="1"/>
      <c r="E3" s="1"/>
      <c r="F3" s="1"/>
    </row>
    <row r="4" spans="1:6" ht="28" customHeight="1" x14ac:dyDescent="0.35">
      <c r="A4" s="8" t="s">
        <v>2</v>
      </c>
      <c r="B4" s="8"/>
      <c r="C4" s="8"/>
      <c r="D4" s="8"/>
      <c r="E4" s="8"/>
      <c r="F4" s="8"/>
    </row>
    <row r="5" spans="1:6" ht="28" customHeight="1" x14ac:dyDescent="0.35">
      <c r="A5" s="1"/>
      <c r="B5" s="1"/>
      <c r="C5" s="1"/>
      <c r="D5" s="1"/>
      <c r="E5" s="1"/>
      <c r="F5" s="1"/>
    </row>
    <row r="6" spans="1:6" ht="28" customHeight="1" x14ac:dyDescent="0.35">
      <c r="A6" s="2" t="s">
        <v>3</v>
      </c>
      <c r="B6" s="1"/>
      <c r="C6" s="1"/>
      <c r="D6" s="1"/>
      <c r="E6" s="1"/>
      <c r="F6" s="1"/>
    </row>
    <row r="7" spans="1:6" ht="28" customHeight="1" x14ac:dyDescent="0.35">
      <c r="A7" s="3" t="s">
        <v>4</v>
      </c>
      <c r="B7" s="8" t="s">
        <v>5</v>
      </c>
      <c r="C7" s="8"/>
      <c r="D7" s="8"/>
      <c r="E7" s="8"/>
      <c r="F7" s="8"/>
    </row>
    <row r="8" spans="1:6" ht="28" customHeight="1" x14ac:dyDescent="0.35">
      <c r="A8" s="3" t="s">
        <v>6</v>
      </c>
      <c r="B8" s="8" t="s">
        <v>7</v>
      </c>
      <c r="C8" s="8"/>
      <c r="D8" s="8"/>
      <c r="E8" s="8"/>
      <c r="F8" s="8"/>
    </row>
    <row r="9" spans="1:6" ht="28" customHeight="1" x14ac:dyDescent="0.35">
      <c r="A9" s="3" t="s">
        <v>8</v>
      </c>
      <c r="B9" s="8" t="s">
        <v>9</v>
      </c>
      <c r="C9" s="8"/>
      <c r="D9" s="8"/>
      <c r="E9" s="8"/>
      <c r="F9" s="8"/>
    </row>
    <row r="10" spans="1:6" ht="28" customHeight="1" x14ac:dyDescent="0.35">
      <c r="A10" s="3" t="s">
        <v>10</v>
      </c>
      <c r="B10" s="8" t="s">
        <v>11</v>
      </c>
      <c r="C10" s="8"/>
      <c r="D10" s="8"/>
      <c r="E10" s="8"/>
      <c r="F10" s="8"/>
    </row>
    <row r="11" spans="1:6" ht="28" customHeight="1" x14ac:dyDescent="0.35">
      <c r="A11" s="3" t="s">
        <v>12</v>
      </c>
      <c r="B11" s="8" t="s">
        <v>13</v>
      </c>
      <c r="C11" s="8"/>
      <c r="D11" s="8"/>
      <c r="E11" s="8"/>
      <c r="F11" s="8"/>
    </row>
    <row r="12" spans="1:6" ht="28" customHeight="1" x14ac:dyDescent="0.35">
      <c r="A12" s="3" t="s">
        <v>14</v>
      </c>
      <c r="B12" s="8" t="s">
        <v>15</v>
      </c>
      <c r="C12" s="8"/>
      <c r="D12" s="8"/>
      <c r="E12" s="8"/>
      <c r="F12" s="8"/>
    </row>
    <row r="13" spans="1:6" ht="28" customHeight="1" x14ac:dyDescent="0.35">
      <c r="A13" s="3" t="s">
        <v>16</v>
      </c>
      <c r="B13" s="8" t="s">
        <v>17</v>
      </c>
      <c r="C13" s="8"/>
      <c r="D13" s="8"/>
      <c r="E13" s="8"/>
      <c r="F13" s="8"/>
    </row>
    <row r="14" spans="1:6" ht="28" customHeight="1" x14ac:dyDescent="0.35">
      <c r="A14" s="1"/>
      <c r="B14" s="1"/>
      <c r="C14" s="1"/>
      <c r="D14" s="1"/>
      <c r="E14" s="1"/>
      <c r="F14" s="1"/>
    </row>
    <row r="15" spans="1:6" ht="28" customHeight="1" x14ac:dyDescent="0.35">
      <c r="A15" s="1"/>
      <c r="B15" s="1"/>
      <c r="C15" s="1"/>
      <c r="D15" s="1"/>
      <c r="E15" s="1"/>
      <c r="F15" s="1"/>
    </row>
    <row r="16" spans="1:6" ht="28" customHeight="1" x14ac:dyDescent="0.35">
      <c r="A16" s="2" t="s">
        <v>18</v>
      </c>
      <c r="B16" s="1"/>
      <c r="C16" s="1"/>
      <c r="D16" s="1"/>
      <c r="E16" s="1"/>
      <c r="F16" s="1"/>
    </row>
    <row r="17" spans="1:6" ht="28" customHeight="1" x14ac:dyDescent="0.35">
      <c r="A17" s="1" t="s">
        <v>19</v>
      </c>
      <c r="B17" s="8" t="s">
        <v>20</v>
      </c>
      <c r="C17" s="8"/>
      <c r="D17" s="8"/>
      <c r="E17" s="8"/>
      <c r="F17" s="8"/>
    </row>
    <row r="18" spans="1:6" ht="28" customHeight="1" x14ac:dyDescent="0.35">
      <c r="A18" s="1" t="s">
        <v>19</v>
      </c>
      <c r="B18" s="8" t="s">
        <v>21</v>
      </c>
      <c r="C18" s="8"/>
      <c r="D18" s="8"/>
      <c r="E18" s="8"/>
      <c r="F18" s="8"/>
    </row>
    <row r="19" spans="1:6" ht="28" customHeight="1" x14ac:dyDescent="0.35">
      <c r="A19" s="1" t="s">
        <v>19</v>
      </c>
      <c r="B19" s="8" t="s">
        <v>22</v>
      </c>
      <c r="C19" s="8"/>
      <c r="D19" s="8"/>
      <c r="E19" s="8"/>
      <c r="F19" s="8"/>
    </row>
    <row r="20" spans="1:6" ht="28" customHeight="1" x14ac:dyDescent="0.35">
      <c r="A20" s="1" t="s">
        <v>19</v>
      </c>
      <c r="B20" s="8" t="s">
        <v>23</v>
      </c>
      <c r="C20" s="8"/>
      <c r="D20" s="8"/>
      <c r="E20" s="8"/>
      <c r="F20" s="8"/>
    </row>
    <row r="21" spans="1:6" ht="28" customHeight="1" x14ac:dyDescent="0.35">
      <c r="A21" s="1" t="s">
        <v>19</v>
      </c>
      <c r="B21" s="8" t="s">
        <v>24</v>
      </c>
      <c r="C21" s="8"/>
      <c r="D21" s="8"/>
      <c r="E21" s="8"/>
      <c r="F21" s="8"/>
    </row>
    <row r="22" spans="1:6" ht="28" customHeight="1" x14ac:dyDescent="0.35">
      <c r="A22" s="1" t="s">
        <v>19</v>
      </c>
      <c r="B22" s="8" t="s">
        <v>25</v>
      </c>
      <c r="C22" s="8"/>
      <c r="D22" s="8"/>
      <c r="E22" s="8"/>
      <c r="F22" s="8"/>
    </row>
  </sheetData>
  <autoFilter ref="A1:F22" xr:uid="{00000000-0009-0000-0000-000000000000}"/>
  <mergeCells count="15">
    <mergeCell ref="B22:F22"/>
    <mergeCell ref="B17:F17"/>
    <mergeCell ref="B9:F9"/>
    <mergeCell ref="B13:F13"/>
    <mergeCell ref="A1:F1"/>
    <mergeCell ref="B11:F11"/>
    <mergeCell ref="B18:F18"/>
    <mergeCell ref="B19:F19"/>
    <mergeCell ref="A4:F4"/>
    <mergeCell ref="B8:F8"/>
    <mergeCell ref="B21:F21"/>
    <mergeCell ref="B12:F12"/>
    <mergeCell ref="B7:F7"/>
    <mergeCell ref="B20:F20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3" customWidth="1"/>
    <col min="4" max="4" width="14" customWidth="1"/>
    <col min="5" max="5" width="12" customWidth="1"/>
    <col min="6" max="6" width="15" customWidth="1"/>
    <col min="7" max="7" width="22" customWidth="1"/>
    <col min="8" max="10" width="12" customWidth="1"/>
  </cols>
  <sheetData>
    <row r="1" spans="1:10" ht="30" customHeight="1" x14ac:dyDescent="0.3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</row>
    <row r="2" spans="1:10" x14ac:dyDescent="0.35">
      <c r="A2" s="5" t="s">
        <v>36</v>
      </c>
      <c r="B2" s="5" t="s">
        <v>37</v>
      </c>
      <c r="C2" s="5" t="s">
        <v>38</v>
      </c>
      <c r="D2" s="5" t="s">
        <v>39</v>
      </c>
      <c r="E2" s="6">
        <v>46305</v>
      </c>
      <c r="F2" s="6">
        <v>46309</v>
      </c>
      <c r="G2" s="5" t="s">
        <v>40</v>
      </c>
      <c r="H2" s="5" t="s">
        <v>41</v>
      </c>
      <c r="I2" s="5">
        <v>40</v>
      </c>
      <c r="J2" s="5">
        <v>1</v>
      </c>
    </row>
    <row r="3" spans="1:10" x14ac:dyDescent="0.35">
      <c r="A3" s="1" t="s">
        <v>42</v>
      </c>
      <c r="B3" s="1" t="s">
        <v>43</v>
      </c>
      <c r="C3" s="1" t="s">
        <v>38</v>
      </c>
      <c r="D3" s="1" t="s">
        <v>39</v>
      </c>
      <c r="E3" s="7">
        <v>46305</v>
      </c>
      <c r="F3" s="7">
        <v>46311</v>
      </c>
      <c r="G3" s="1" t="s">
        <v>44</v>
      </c>
      <c r="H3" s="1" t="s">
        <v>41</v>
      </c>
      <c r="I3" s="1">
        <v>25</v>
      </c>
      <c r="J3" s="1">
        <v>2</v>
      </c>
    </row>
    <row r="4" spans="1:10" x14ac:dyDescent="0.35">
      <c r="A4" s="5" t="s">
        <v>45</v>
      </c>
      <c r="B4" s="5" t="s">
        <v>46</v>
      </c>
      <c r="C4" s="5" t="s">
        <v>47</v>
      </c>
      <c r="D4" s="5" t="s">
        <v>48</v>
      </c>
      <c r="E4" s="6">
        <v>46305</v>
      </c>
      <c r="F4" s="6">
        <v>46308</v>
      </c>
      <c r="G4" s="5" t="s">
        <v>49</v>
      </c>
      <c r="H4" s="5" t="s">
        <v>50</v>
      </c>
      <c r="I4" s="5">
        <v>15</v>
      </c>
      <c r="J4" s="5">
        <v>3</v>
      </c>
    </row>
    <row r="5" spans="1:10" x14ac:dyDescent="0.35">
      <c r="A5" s="1" t="s">
        <v>51</v>
      </c>
      <c r="B5" s="1" t="s">
        <v>52</v>
      </c>
      <c r="C5" s="1" t="s">
        <v>38</v>
      </c>
      <c r="D5" s="1" t="s">
        <v>39</v>
      </c>
      <c r="E5" s="7">
        <v>46305</v>
      </c>
      <c r="F5" s="7">
        <v>46313</v>
      </c>
      <c r="G5" s="1" t="s">
        <v>49</v>
      </c>
      <c r="H5" s="1" t="s">
        <v>50</v>
      </c>
      <c r="I5" s="1">
        <v>30</v>
      </c>
      <c r="J5" s="1">
        <v>2</v>
      </c>
    </row>
    <row r="6" spans="1:10" x14ac:dyDescent="0.35">
      <c r="A6" s="5" t="s">
        <v>53</v>
      </c>
      <c r="B6" s="5" t="s">
        <v>54</v>
      </c>
      <c r="C6" s="5" t="s">
        <v>38</v>
      </c>
      <c r="D6" s="5" t="s">
        <v>39</v>
      </c>
      <c r="E6" s="6">
        <v>46305</v>
      </c>
      <c r="F6" s="6">
        <v>46310</v>
      </c>
      <c r="G6" s="5" t="s">
        <v>40</v>
      </c>
      <c r="H6" s="5" t="s">
        <v>55</v>
      </c>
      <c r="I6" s="5">
        <v>20</v>
      </c>
      <c r="J6" s="5">
        <v>1</v>
      </c>
    </row>
    <row r="7" spans="1:10" x14ac:dyDescent="0.35">
      <c r="A7" s="1" t="s">
        <v>56</v>
      </c>
      <c r="B7" s="1" t="s">
        <v>57</v>
      </c>
      <c r="C7" s="1" t="s">
        <v>38</v>
      </c>
      <c r="D7" s="1" t="s">
        <v>39</v>
      </c>
      <c r="E7" s="7">
        <v>46305</v>
      </c>
      <c r="F7" s="7">
        <v>46315</v>
      </c>
      <c r="G7" s="1" t="s">
        <v>58</v>
      </c>
      <c r="H7" s="1" t="s">
        <v>41</v>
      </c>
      <c r="I7" s="1">
        <v>35</v>
      </c>
      <c r="J7" s="1"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3" customWidth="1"/>
    <col min="3" max="4" width="12" customWidth="1"/>
    <col min="5" max="5" width="15" customWidth="1"/>
    <col min="6" max="6" width="19" customWidth="1"/>
    <col min="7" max="7" width="24" customWidth="1"/>
    <col min="8" max="8" width="21" customWidth="1"/>
  </cols>
  <sheetData>
    <row r="1" spans="1:8" ht="30" customHeight="1" x14ac:dyDescent="0.35">
      <c r="A1" s="4" t="s">
        <v>59</v>
      </c>
      <c r="B1" s="4" t="s">
        <v>60</v>
      </c>
      <c r="C1" s="4" t="s">
        <v>33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</row>
    <row r="2" spans="1:8" x14ac:dyDescent="0.35">
      <c r="A2" s="5" t="s">
        <v>66</v>
      </c>
      <c r="B2" s="5" t="s">
        <v>40</v>
      </c>
      <c r="C2" s="5" t="s">
        <v>41</v>
      </c>
      <c r="D2" s="5">
        <v>55</v>
      </c>
      <c r="E2" s="5">
        <v>10</v>
      </c>
      <c r="F2" s="5">
        <v>5</v>
      </c>
      <c r="G2" s="5">
        <v>0</v>
      </c>
      <c r="H2" s="5">
        <f t="shared" ref="H2:H9" si="0">MAX(0,D2-E2-F2-G2)</f>
        <v>40</v>
      </c>
    </row>
    <row r="3" spans="1:8" x14ac:dyDescent="0.35">
      <c r="A3" s="1" t="s">
        <v>67</v>
      </c>
      <c r="B3" s="1" t="s">
        <v>44</v>
      </c>
      <c r="C3" s="1" t="s">
        <v>41</v>
      </c>
      <c r="D3" s="1">
        <v>50</v>
      </c>
      <c r="E3" s="1">
        <v>5</v>
      </c>
      <c r="F3" s="1">
        <v>15</v>
      </c>
      <c r="G3" s="1">
        <v>0</v>
      </c>
      <c r="H3" s="1">
        <f t="shared" si="0"/>
        <v>30</v>
      </c>
    </row>
    <row r="4" spans="1:8" x14ac:dyDescent="0.35">
      <c r="A4" s="5" t="s">
        <v>68</v>
      </c>
      <c r="B4" s="5" t="s">
        <v>69</v>
      </c>
      <c r="C4" s="5" t="s">
        <v>41</v>
      </c>
      <c r="D4" s="5">
        <v>35</v>
      </c>
      <c r="E4" s="5">
        <v>5</v>
      </c>
      <c r="F4" s="5">
        <v>0</v>
      </c>
      <c r="G4" s="5">
        <v>0</v>
      </c>
      <c r="H4" s="5">
        <f t="shared" si="0"/>
        <v>30</v>
      </c>
    </row>
    <row r="5" spans="1:8" x14ac:dyDescent="0.35">
      <c r="A5" s="1" t="s">
        <v>70</v>
      </c>
      <c r="B5" s="1" t="s">
        <v>49</v>
      </c>
      <c r="C5" s="1" t="s">
        <v>50</v>
      </c>
      <c r="D5" s="1">
        <v>25</v>
      </c>
      <c r="E5" s="1">
        <v>5</v>
      </c>
      <c r="F5" s="1">
        <v>5</v>
      </c>
      <c r="G5" s="1">
        <v>0</v>
      </c>
      <c r="H5" s="1">
        <f t="shared" si="0"/>
        <v>15</v>
      </c>
    </row>
    <row r="6" spans="1:8" x14ac:dyDescent="0.35">
      <c r="A6" s="5" t="s">
        <v>71</v>
      </c>
      <c r="B6" s="5" t="s">
        <v>58</v>
      </c>
      <c r="C6" s="5" t="s">
        <v>50</v>
      </c>
      <c r="D6" s="5">
        <v>10</v>
      </c>
      <c r="E6" s="5">
        <v>0</v>
      </c>
      <c r="F6" s="5">
        <v>5</v>
      </c>
      <c r="G6" s="5">
        <v>0</v>
      </c>
      <c r="H6" s="5">
        <f t="shared" si="0"/>
        <v>5</v>
      </c>
    </row>
    <row r="7" spans="1:8" x14ac:dyDescent="0.35">
      <c r="A7" s="1" t="s">
        <v>72</v>
      </c>
      <c r="B7" s="1" t="s">
        <v>69</v>
      </c>
      <c r="C7" s="1" t="s">
        <v>50</v>
      </c>
      <c r="D7" s="1">
        <v>20</v>
      </c>
      <c r="E7" s="1">
        <v>0</v>
      </c>
      <c r="F7" s="1">
        <v>0</v>
      </c>
      <c r="G7" s="1">
        <v>0</v>
      </c>
      <c r="H7" s="1">
        <f t="shared" si="0"/>
        <v>20</v>
      </c>
    </row>
    <row r="8" spans="1:8" x14ac:dyDescent="0.35">
      <c r="A8" s="5" t="s">
        <v>73</v>
      </c>
      <c r="B8" s="5" t="s">
        <v>40</v>
      </c>
      <c r="C8" s="5" t="s">
        <v>55</v>
      </c>
      <c r="D8" s="5">
        <v>8</v>
      </c>
      <c r="E8" s="5">
        <v>0</v>
      </c>
      <c r="F8" s="5">
        <v>2</v>
      </c>
      <c r="G8" s="5">
        <v>0</v>
      </c>
      <c r="H8" s="5">
        <f t="shared" si="0"/>
        <v>6</v>
      </c>
    </row>
    <row r="9" spans="1:8" x14ac:dyDescent="0.35">
      <c r="A9" s="1" t="s">
        <v>74</v>
      </c>
      <c r="B9" s="1" t="s">
        <v>69</v>
      </c>
      <c r="C9" s="1" t="s">
        <v>55</v>
      </c>
      <c r="D9" s="1">
        <v>12</v>
      </c>
      <c r="E9" s="1">
        <v>0</v>
      </c>
      <c r="F9" s="1">
        <v>0</v>
      </c>
      <c r="G9" s="1">
        <v>0</v>
      </c>
      <c r="H9" s="1">
        <f t="shared" si="0"/>
        <v>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9" customWidth="1"/>
    <col min="3" max="3" width="12" customWidth="1"/>
    <col min="4" max="4" width="15" customWidth="1"/>
    <col min="5" max="6" width="12" customWidth="1"/>
    <col min="7" max="7" width="24" customWidth="1"/>
    <col min="8" max="8" width="22" customWidth="1"/>
  </cols>
  <sheetData>
    <row r="1" spans="1:8" ht="30" customHeight="1" x14ac:dyDescent="0.35">
      <c r="A1" s="4" t="s">
        <v>60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</row>
    <row r="2" spans="1:8" x14ac:dyDescent="0.35">
      <c r="A2" s="5" t="s">
        <v>40</v>
      </c>
      <c r="B2" s="5" t="s">
        <v>82</v>
      </c>
      <c r="C2" s="5" t="s">
        <v>83</v>
      </c>
      <c r="D2" s="5" t="s">
        <v>84</v>
      </c>
      <c r="E2" s="5">
        <v>40.712800000000001</v>
      </c>
      <c r="F2" s="5">
        <v>-74.006</v>
      </c>
      <c r="G2" s="5">
        <v>0.08</v>
      </c>
      <c r="H2" s="5">
        <v>1</v>
      </c>
    </row>
    <row r="3" spans="1:8" x14ac:dyDescent="0.35">
      <c r="A3" s="1" t="s">
        <v>44</v>
      </c>
      <c r="B3" s="1" t="s">
        <v>85</v>
      </c>
      <c r="C3" s="1" t="s">
        <v>86</v>
      </c>
      <c r="D3" s="1" t="s">
        <v>84</v>
      </c>
      <c r="E3" s="1">
        <v>41.878100000000003</v>
      </c>
      <c r="F3" s="1">
        <v>-87.629800000000003</v>
      </c>
      <c r="G3" s="1">
        <v>0.08</v>
      </c>
      <c r="H3" s="1">
        <v>2</v>
      </c>
    </row>
    <row r="4" spans="1:8" x14ac:dyDescent="0.35">
      <c r="A4" s="5" t="s">
        <v>49</v>
      </c>
      <c r="B4" s="5" t="s">
        <v>87</v>
      </c>
      <c r="C4" s="5" t="s">
        <v>88</v>
      </c>
      <c r="D4" s="5" t="s">
        <v>84</v>
      </c>
      <c r="E4" s="5">
        <v>34.052199999999999</v>
      </c>
      <c r="F4" s="5">
        <v>-118.2437</v>
      </c>
      <c r="G4" s="5">
        <v>0.08</v>
      </c>
      <c r="H4" s="5">
        <v>3</v>
      </c>
    </row>
    <row r="5" spans="1:8" x14ac:dyDescent="0.35">
      <c r="A5" s="1" t="s">
        <v>58</v>
      </c>
      <c r="B5" s="1" t="s">
        <v>89</v>
      </c>
      <c r="C5" s="1" t="s">
        <v>90</v>
      </c>
      <c r="D5" s="1" t="s">
        <v>84</v>
      </c>
      <c r="E5" s="1">
        <v>29.760400000000001</v>
      </c>
      <c r="F5" s="1">
        <v>-95.369799999999998</v>
      </c>
      <c r="G5" s="1">
        <v>0.08</v>
      </c>
      <c r="H5" s="1">
        <v>2</v>
      </c>
    </row>
    <row r="6" spans="1:8" x14ac:dyDescent="0.35">
      <c r="A6" s="5" t="s">
        <v>69</v>
      </c>
      <c r="B6" s="5" t="s">
        <v>91</v>
      </c>
      <c r="C6" s="5" t="s">
        <v>92</v>
      </c>
      <c r="D6" s="5" t="s">
        <v>93</v>
      </c>
      <c r="E6" s="5">
        <v>39.739199999999997</v>
      </c>
      <c r="F6" s="5">
        <v>-104.9903</v>
      </c>
      <c r="G6" s="5">
        <v>0.06</v>
      </c>
      <c r="H6" s="5">
        <v>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3" customWidth="1"/>
    <col min="3" max="3" width="15" customWidth="1"/>
    <col min="4" max="4" width="22" customWidth="1"/>
    <col min="5" max="5" width="14" customWidth="1"/>
    <col min="6" max="6" width="20" customWidth="1"/>
    <col min="7" max="7" width="21" customWidth="1"/>
    <col min="8" max="8" width="15" customWidth="1"/>
    <col min="9" max="9" width="24" customWidth="1"/>
    <col min="10" max="10" width="32" customWidth="1"/>
  </cols>
  <sheetData>
    <row r="1" spans="1:10" ht="30" customHeight="1" x14ac:dyDescent="0.35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</row>
    <row r="2" spans="1:10" ht="29" x14ac:dyDescent="0.35">
      <c r="A2" s="5" t="s">
        <v>104</v>
      </c>
      <c r="B2" s="5" t="s">
        <v>105</v>
      </c>
      <c r="C2" s="5" t="s">
        <v>106</v>
      </c>
      <c r="D2" s="5">
        <v>5</v>
      </c>
      <c r="E2" s="5" t="s">
        <v>107</v>
      </c>
      <c r="F2" s="5">
        <v>6</v>
      </c>
      <c r="G2" s="5">
        <v>2</v>
      </c>
      <c r="H2" s="5">
        <v>2</v>
      </c>
      <c r="I2" s="5">
        <v>1800</v>
      </c>
      <c r="J2" s="5" t="s">
        <v>108</v>
      </c>
    </row>
    <row r="3" spans="1:10" ht="29" x14ac:dyDescent="0.35">
      <c r="A3" s="1" t="s">
        <v>109</v>
      </c>
      <c r="B3" s="1" t="s">
        <v>110</v>
      </c>
      <c r="C3" s="1" t="s">
        <v>111</v>
      </c>
      <c r="D3" s="1">
        <v>7</v>
      </c>
      <c r="E3" s="1" t="s">
        <v>112</v>
      </c>
      <c r="F3" s="1">
        <v>24</v>
      </c>
      <c r="G3" s="1">
        <v>4</v>
      </c>
      <c r="H3" s="1">
        <v>2</v>
      </c>
      <c r="I3" s="1">
        <v>950</v>
      </c>
      <c r="J3" s="1" t="s">
        <v>108</v>
      </c>
    </row>
    <row r="4" spans="1:10" ht="29" x14ac:dyDescent="0.35">
      <c r="A4" s="5" t="s">
        <v>113</v>
      </c>
      <c r="B4" s="5" t="s">
        <v>114</v>
      </c>
      <c r="C4" s="5" t="s">
        <v>115</v>
      </c>
      <c r="D4" s="5">
        <v>3</v>
      </c>
      <c r="E4" s="5" t="s">
        <v>116</v>
      </c>
      <c r="F4" s="5">
        <v>3</v>
      </c>
      <c r="G4" s="5">
        <v>1</v>
      </c>
      <c r="H4" s="5">
        <v>1</v>
      </c>
      <c r="I4" s="5">
        <v>600</v>
      </c>
      <c r="J4" s="5" t="s">
        <v>108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3" customWidth="1"/>
    <col min="4" max="4" width="12" customWidth="1"/>
    <col min="5" max="5" width="13" customWidth="1"/>
    <col min="6" max="6" width="14" customWidth="1"/>
    <col min="7" max="8" width="20" customWidth="1"/>
    <col min="9" max="9" width="23" customWidth="1"/>
    <col min="10" max="10" width="22" customWidth="1"/>
    <col min="11" max="11" width="19" customWidth="1"/>
  </cols>
  <sheetData>
    <row r="1" spans="1:11" ht="30" customHeight="1" x14ac:dyDescent="0.35">
      <c r="A1" s="4" t="s">
        <v>117</v>
      </c>
      <c r="B1" s="4" t="s">
        <v>118</v>
      </c>
      <c r="C1" s="4" t="s">
        <v>94</v>
      </c>
      <c r="D1" s="4" t="s">
        <v>33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32</v>
      </c>
      <c r="K1" s="4" t="s">
        <v>124</v>
      </c>
    </row>
    <row r="2" spans="1:11" x14ac:dyDescent="0.35">
      <c r="A2" s="5" t="s">
        <v>125</v>
      </c>
      <c r="B2" s="5" t="s">
        <v>126</v>
      </c>
      <c r="C2" s="5" t="s">
        <v>104</v>
      </c>
      <c r="D2" s="5" t="s">
        <v>41</v>
      </c>
      <c r="E2" s="5">
        <v>50</v>
      </c>
      <c r="F2" s="5">
        <v>0</v>
      </c>
      <c r="G2" s="5">
        <v>20</v>
      </c>
      <c r="H2" s="5">
        <f>MAX(0,E2-F2-G2)</f>
        <v>30</v>
      </c>
      <c r="I2" s="6">
        <v>46318</v>
      </c>
      <c r="J2" s="5" t="s">
        <v>69</v>
      </c>
      <c r="K2" s="5" t="s">
        <v>127</v>
      </c>
    </row>
    <row r="3" spans="1:11" x14ac:dyDescent="0.35">
      <c r="A3" s="1" t="s">
        <v>128</v>
      </c>
      <c r="B3" s="1" t="s">
        <v>129</v>
      </c>
      <c r="C3" s="1" t="s">
        <v>109</v>
      </c>
      <c r="D3" s="1" t="s">
        <v>50</v>
      </c>
      <c r="E3" s="1">
        <v>40</v>
      </c>
      <c r="F3" s="1">
        <v>0</v>
      </c>
      <c r="G3" s="1">
        <v>0</v>
      </c>
      <c r="H3" s="1">
        <f>MAX(0,E3-F3-G3)</f>
        <v>40</v>
      </c>
      <c r="I3" s="7">
        <v>46342</v>
      </c>
      <c r="J3" s="1" t="s">
        <v>69</v>
      </c>
      <c r="K3" s="1" t="s">
        <v>48</v>
      </c>
    </row>
    <row r="4" spans="1:11" x14ac:dyDescent="0.35">
      <c r="A4" s="5" t="s">
        <v>130</v>
      </c>
      <c r="B4" s="5" t="s">
        <v>131</v>
      </c>
      <c r="C4" s="5" t="s">
        <v>113</v>
      </c>
      <c r="D4" s="5" t="s">
        <v>55</v>
      </c>
      <c r="E4" s="5">
        <v>25</v>
      </c>
      <c r="F4" s="5">
        <v>0</v>
      </c>
      <c r="G4" s="5">
        <v>0</v>
      </c>
      <c r="H4" s="5">
        <f>MAX(0,E4-F4-G4)</f>
        <v>25</v>
      </c>
      <c r="I4" s="6">
        <v>46313</v>
      </c>
      <c r="J4" s="5" t="s">
        <v>69</v>
      </c>
      <c r="K4" s="5" t="s">
        <v>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12" customWidth="1"/>
    <col min="4" max="4" width="13" customWidth="1"/>
    <col min="5" max="5" width="12" customWidth="1"/>
    <col min="6" max="6" width="13" customWidth="1"/>
    <col min="7" max="7" width="23" customWidth="1"/>
    <col min="8" max="8" width="22" customWidth="1"/>
    <col min="9" max="9" width="14" customWidth="1"/>
    <col min="10" max="10" width="15" customWidth="1"/>
  </cols>
  <sheetData>
    <row r="1" spans="1:10" ht="30" customHeight="1" x14ac:dyDescent="0.35">
      <c r="A1" s="4" t="s">
        <v>132</v>
      </c>
      <c r="B1" s="4" t="s">
        <v>133</v>
      </c>
      <c r="C1" s="4" t="s">
        <v>117</v>
      </c>
      <c r="D1" s="4" t="s">
        <v>94</v>
      </c>
      <c r="E1" s="4" t="s">
        <v>33</v>
      </c>
      <c r="F1" s="4" t="s">
        <v>134</v>
      </c>
      <c r="G1" s="4" t="s">
        <v>123</v>
      </c>
      <c r="H1" s="4" t="s">
        <v>32</v>
      </c>
      <c r="I1" s="4" t="s">
        <v>120</v>
      </c>
      <c r="J1" s="4" t="s">
        <v>135</v>
      </c>
    </row>
    <row r="2" spans="1:10" x14ac:dyDescent="0.35">
      <c r="A2" s="5" t="s">
        <v>136</v>
      </c>
      <c r="B2" s="5" t="s">
        <v>137</v>
      </c>
      <c r="C2" s="5" t="s">
        <v>125</v>
      </c>
      <c r="D2" s="5" t="s">
        <v>104</v>
      </c>
      <c r="E2" s="5" t="s">
        <v>41</v>
      </c>
      <c r="F2" s="5">
        <v>20</v>
      </c>
      <c r="G2" s="6">
        <v>46318</v>
      </c>
      <c r="H2" s="5" t="s">
        <v>69</v>
      </c>
      <c r="I2" s="5">
        <v>0</v>
      </c>
      <c r="J2" s="5">
        <f>MAX(0,F2-I2)</f>
        <v>20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8" customWidth="1"/>
    <col min="3" max="3" width="32" customWidth="1"/>
    <col min="4" max="4" width="12" customWidth="1"/>
    <col min="5" max="5" width="32" customWidth="1"/>
  </cols>
  <sheetData>
    <row r="1" spans="1:5" ht="30" customHeight="1" x14ac:dyDescent="0.35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142</v>
      </c>
    </row>
    <row r="2" spans="1:5" ht="43.5" x14ac:dyDescent="0.35">
      <c r="A2" s="5" t="s">
        <v>143</v>
      </c>
      <c r="B2" s="5" t="s">
        <v>144</v>
      </c>
      <c r="C2" s="5" t="s">
        <v>145</v>
      </c>
      <c r="D2" s="5" t="s">
        <v>146</v>
      </c>
      <c r="E2" s="5" t="s">
        <v>147</v>
      </c>
    </row>
    <row r="3" spans="1:5" ht="29" x14ac:dyDescent="0.35">
      <c r="A3" s="1" t="s">
        <v>148</v>
      </c>
      <c r="B3" s="1" t="s">
        <v>149</v>
      </c>
      <c r="C3" s="1">
        <v>1</v>
      </c>
      <c r="D3" s="1" t="s">
        <v>150</v>
      </c>
      <c r="E3" s="1" t="s">
        <v>151</v>
      </c>
    </row>
    <row r="4" spans="1:5" ht="29" x14ac:dyDescent="0.35">
      <c r="A4" s="5" t="s">
        <v>152</v>
      </c>
      <c r="B4" s="5" t="s">
        <v>153</v>
      </c>
      <c r="C4" s="5" t="s">
        <v>154</v>
      </c>
      <c r="D4" s="5" t="s">
        <v>155</v>
      </c>
      <c r="E4" s="5" t="s">
        <v>156</v>
      </c>
    </row>
    <row r="5" spans="1:5" ht="43.5" x14ac:dyDescent="0.35">
      <c r="A5" s="1" t="s">
        <v>157</v>
      </c>
      <c r="B5" s="1" t="s">
        <v>158</v>
      </c>
      <c r="C5" s="1" t="s">
        <v>159</v>
      </c>
      <c r="D5" s="1" t="s">
        <v>146</v>
      </c>
      <c r="E5" s="1" t="s">
        <v>160</v>
      </c>
    </row>
    <row r="6" spans="1:5" ht="43.5" x14ac:dyDescent="0.35">
      <c r="A6" s="5" t="s">
        <v>161</v>
      </c>
      <c r="B6" s="5" t="s">
        <v>162</v>
      </c>
      <c r="C6" s="5" t="s">
        <v>163</v>
      </c>
      <c r="D6" s="5" t="s">
        <v>146</v>
      </c>
      <c r="E6" s="5" t="s">
        <v>164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2" customWidth="1"/>
    <col min="3" max="3" width="20" customWidth="1"/>
    <col min="4" max="4" width="18" customWidth="1"/>
    <col min="5" max="5" width="12" customWidth="1"/>
    <col min="6" max="6" width="25" customWidth="1"/>
    <col min="7" max="7" width="14" customWidth="1"/>
    <col min="8" max="8" width="20" customWidth="1"/>
    <col min="9" max="9" width="14" customWidth="1"/>
    <col min="10" max="10" width="32" customWidth="1"/>
  </cols>
  <sheetData>
    <row r="1" spans="1:10" ht="30" customHeight="1" x14ac:dyDescent="0.35">
      <c r="A1" s="4" t="s">
        <v>165</v>
      </c>
      <c r="B1" s="4" t="s">
        <v>26</v>
      </c>
      <c r="C1" s="4" t="s">
        <v>166</v>
      </c>
      <c r="D1" s="4" t="s">
        <v>167</v>
      </c>
      <c r="E1" s="4" t="s">
        <v>33</v>
      </c>
      <c r="F1" s="4" t="s">
        <v>168</v>
      </c>
      <c r="G1" s="4" t="s">
        <v>169</v>
      </c>
      <c r="H1" s="4" t="s">
        <v>170</v>
      </c>
      <c r="I1" s="4" t="s">
        <v>171</v>
      </c>
      <c r="J1" s="4" t="s">
        <v>172</v>
      </c>
    </row>
    <row r="2" spans="1:10" ht="43.5" x14ac:dyDescent="0.35">
      <c r="A2" s="5" t="s">
        <v>173</v>
      </c>
      <c r="B2" s="5" t="s">
        <v>36</v>
      </c>
      <c r="C2" s="5" t="s">
        <v>174</v>
      </c>
      <c r="D2" s="5" t="s">
        <v>66</v>
      </c>
      <c r="E2" s="5" t="s">
        <v>41</v>
      </c>
      <c r="F2" s="5" t="s">
        <v>40</v>
      </c>
      <c r="G2" s="5">
        <v>10</v>
      </c>
      <c r="H2" s="5" t="s">
        <v>39</v>
      </c>
      <c r="I2" s="6">
        <v>46305</v>
      </c>
      <c r="J2" s="5" t="s">
        <v>175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3" width="12" customWidth="1"/>
    <col min="4" max="4" width="20" customWidth="1"/>
    <col min="5" max="5" width="18" customWidth="1"/>
    <col min="6" max="6" width="17" customWidth="1"/>
    <col min="7" max="7" width="15" customWidth="1"/>
    <col min="8" max="8" width="23" customWidth="1"/>
    <col min="9" max="9" width="15" customWidth="1"/>
    <col min="10" max="10" width="24" customWidth="1"/>
    <col min="11" max="11" width="32" customWidth="1"/>
  </cols>
  <sheetData>
    <row r="1" spans="1:11" ht="30" customHeight="1" x14ac:dyDescent="0.35">
      <c r="A1" s="4" t="s">
        <v>176</v>
      </c>
      <c r="B1" s="4" t="s">
        <v>26</v>
      </c>
      <c r="C1" s="4" t="s">
        <v>33</v>
      </c>
      <c r="D1" s="4" t="s">
        <v>166</v>
      </c>
      <c r="E1" s="4" t="s">
        <v>167</v>
      </c>
      <c r="F1" s="4" t="s">
        <v>177</v>
      </c>
      <c r="G1" s="4" t="s">
        <v>178</v>
      </c>
      <c r="H1" s="4" t="s">
        <v>123</v>
      </c>
      <c r="I1" s="4" t="s">
        <v>31</v>
      </c>
      <c r="J1" s="4" t="s">
        <v>179</v>
      </c>
      <c r="K1" s="4" t="s">
        <v>172</v>
      </c>
    </row>
    <row r="2" spans="1:11" ht="29" x14ac:dyDescent="0.35">
      <c r="A2" s="5" t="s">
        <v>180</v>
      </c>
      <c r="B2" s="5" t="s">
        <v>36</v>
      </c>
      <c r="C2" s="5" t="s">
        <v>41</v>
      </c>
      <c r="D2" s="5" t="s">
        <v>174</v>
      </c>
      <c r="E2" s="5" t="s">
        <v>66</v>
      </c>
      <c r="F2" s="5" t="s">
        <v>40</v>
      </c>
      <c r="G2" s="5">
        <v>15</v>
      </c>
      <c r="H2" s="6">
        <v>46306</v>
      </c>
      <c r="I2" s="6">
        <v>46309</v>
      </c>
      <c r="J2" s="5" t="str">
        <f>IF(H2&lt;=I2,"Yes","No")</f>
        <v>Yes</v>
      </c>
      <c r="K2" s="5" t="s">
        <v>181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32" customWidth="1"/>
    <col min="4" max="4" width="20" customWidth="1"/>
    <col min="5" max="5" width="27" customWidth="1"/>
    <col min="6" max="6" width="32" customWidth="1"/>
  </cols>
  <sheetData>
    <row r="1" spans="1:6" ht="30" customHeight="1" x14ac:dyDescent="0.35">
      <c r="A1" s="4" t="s">
        <v>182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172</v>
      </c>
    </row>
    <row r="2" spans="1:6" ht="29" x14ac:dyDescent="0.35">
      <c r="A2" s="5" t="s">
        <v>187</v>
      </c>
      <c r="B2" s="5" t="s">
        <v>188</v>
      </c>
      <c r="C2" s="5" t="s">
        <v>189</v>
      </c>
      <c r="D2" s="5">
        <f>Inventory!H2</f>
        <v>40</v>
      </c>
      <c r="E2" s="5" t="str">
        <f>IF(D2=40,"PASS","CHECK")</f>
        <v>PASS</v>
      </c>
      <c r="F2" s="5" t="s">
        <v>190</v>
      </c>
    </row>
    <row r="3" spans="1:6" ht="29" x14ac:dyDescent="0.35">
      <c r="A3" s="1" t="s">
        <v>191</v>
      </c>
      <c r="B3" s="1" t="s">
        <v>192</v>
      </c>
      <c r="C3" s="1" t="s">
        <v>193</v>
      </c>
      <c r="D3" s="1" t="s">
        <v>194</v>
      </c>
      <c r="E3" s="1"/>
      <c r="F3" s="1"/>
    </row>
    <row r="4" spans="1:6" ht="29" x14ac:dyDescent="0.35">
      <c r="A4" s="5" t="s">
        <v>195</v>
      </c>
      <c r="B4" s="5" t="s">
        <v>162</v>
      </c>
      <c r="C4" s="5" t="s">
        <v>196</v>
      </c>
      <c r="D4" s="5">
        <f>PurchaseOrders!H2</f>
        <v>30</v>
      </c>
      <c r="E4" s="5" t="str">
        <f>IF(D4=30,"PASS","CHECK")</f>
        <v>PASS</v>
      </c>
      <c r="F4" s="5" t="s">
        <v>197</v>
      </c>
    </row>
    <row r="5" spans="1:6" ht="43.5" x14ac:dyDescent="0.35">
      <c r="A5" s="1" t="s">
        <v>198</v>
      </c>
      <c r="B5" s="1" t="s">
        <v>199</v>
      </c>
      <c r="C5" s="1" t="s">
        <v>200</v>
      </c>
      <c r="D5" s="1" t="s">
        <v>194</v>
      </c>
      <c r="E5" s="1"/>
      <c r="F5" s="1"/>
    </row>
    <row r="6" spans="1:6" ht="29" x14ac:dyDescent="0.35">
      <c r="A6" s="5" t="s">
        <v>201</v>
      </c>
      <c r="B6" s="5" t="s">
        <v>202</v>
      </c>
      <c r="C6" s="5" t="s">
        <v>203</v>
      </c>
      <c r="D6" s="5" t="s">
        <v>194</v>
      </c>
      <c r="E6" s="5"/>
      <c r="F6" s="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START_HERE</vt:lpstr>
      <vt:lpstr>SalesOrders</vt:lpstr>
      <vt:lpstr>Inventory</vt:lpstr>
      <vt:lpstr>Locations</vt:lpstr>
      <vt:lpstr>Suppliers</vt:lpstr>
      <vt:lpstr>PurchaseOrders</vt:lpstr>
      <vt:lpstr>OnTheWater</vt:lpstr>
      <vt:lpstr>Assumptions</vt:lpstr>
      <vt:lpstr>Reservations</vt:lpstr>
      <vt:lpstr>Allocations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Cherie Iyke</cp:lastModifiedBy>
  <dcterms:created xsi:type="dcterms:W3CDTF">2026-10-10T08:53:00Z</dcterms:created>
  <dcterms:modified xsi:type="dcterms:W3CDTF">2026-10-17T16:43:39Z</dcterms:modified>
</cp:coreProperties>
</file>