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3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PC\Documents\portfolio projects\Upwork portfolio projects\"/>
    </mc:Choice>
  </mc:AlternateContent>
  <xr:revisionPtr revIDLastSave="0" documentId="8_{ADD8068C-269B-4309-9846-68AA47FE688D}" xr6:coauthVersionLast="47" xr6:coauthVersionMax="47" xr10:uidLastSave="{00000000-0000-0000-0000-000000000000}"/>
  <bookViews>
    <workbookView xWindow="-110" yWindow="-110" windowWidth="19420" windowHeight="10300" firstSheet="4" activeTab="5" xr2:uid="{00000000-000D-0000-FFFF-FFFF00000000}"/>
  </bookViews>
  <sheets>
    <sheet name="START_HERE" sheetId="1" r:id="rId1"/>
    <sheet name="SalesOrders" sheetId="2" r:id="rId2"/>
    <sheet name="Inventory" sheetId="3" r:id="rId3"/>
    <sheet name="Locations" sheetId="4" r:id="rId4"/>
    <sheet name="Suppliers" sheetId="5" r:id="rId5"/>
    <sheet name="Purchasing_Recommendations" sheetId="16" r:id="rId6"/>
    <sheet name="PurchaseOrders" sheetId="6" r:id="rId7"/>
    <sheet name="OnTheWater" sheetId="7" r:id="rId8"/>
    <sheet name="Incoming_Supply_Analysis" sheetId="15" r:id="rId9"/>
    <sheet name="Assumptions" sheetId="8" r:id="rId10"/>
    <sheet name="Reservations" sheetId="9" r:id="rId11"/>
    <sheet name="Allocations" sheetId="10" r:id="rId12"/>
    <sheet name="Allocation_Proposals" sheetId="14" r:id="rId13"/>
    <sheet name="TestCases" sheetId="11" r:id="rId14"/>
    <sheet name="Allocation Practice" sheetId="12" state="hidden" r:id="rId15"/>
    <sheet name="Allocation Practice illustratio" sheetId="13" state="hidden" r:id="rId16"/>
    <sheet name="Dashboard" sheetId="17" r:id="rId17"/>
  </sheets>
  <definedNames>
    <definedName name="_xlnm._FilterDatabase" localSheetId="0" hidden="1">START_HERE!$A$1:$F$22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6" l="1"/>
  <c r="D6" i="16"/>
  <c r="D7" i="16"/>
  <c r="D8" i="16"/>
  <c r="D9" i="16"/>
  <c r="D10" i="16"/>
  <c r="M5" i="14"/>
  <c r="M6" i="14"/>
  <c r="M7" i="14"/>
  <c r="M8" i="14"/>
  <c r="M9" i="14"/>
  <c r="M10" i="14"/>
  <c r="L4" i="14"/>
  <c r="L5" i="14"/>
  <c r="L6" i="14"/>
  <c r="L7" i="14"/>
  <c r="L8" i="14"/>
  <c r="L9" i="14"/>
  <c r="K5" i="14"/>
  <c r="I5" i="14" s="1"/>
  <c r="K6" i="14"/>
  <c r="I6" i="14" s="1"/>
  <c r="K7" i="14"/>
  <c r="I7" i="14" s="1"/>
  <c r="K8" i="14"/>
  <c r="I8" i="14" s="1"/>
  <c r="K9" i="14"/>
  <c r="I9" i="14" s="1"/>
  <c r="K10" i="14"/>
  <c r="I10" i="14" s="1"/>
  <c r="H5" i="14"/>
  <c r="H6" i="14"/>
  <c r="H7" i="14"/>
  <c r="H8" i="14"/>
  <c r="H9" i="14"/>
  <c r="H10" i="14"/>
  <c r="D3" i="16"/>
  <c r="D4" i="16"/>
  <c r="D2" i="16"/>
  <c r="K2" i="5"/>
  <c r="F2" i="16" s="1"/>
  <c r="H2" i="16" s="1"/>
  <c r="K3" i="5"/>
  <c r="F3" i="16" s="1"/>
  <c r="H3" i="16" s="1"/>
  <c r="K4" i="5"/>
  <c r="F4" i="16" s="1"/>
  <c r="H4" i="16" s="1"/>
  <c r="D2" i="15"/>
  <c r="E2" i="15" s="1"/>
  <c r="O4" i="2"/>
  <c r="M3" i="14"/>
  <c r="M4" i="14"/>
  <c r="M2" i="14"/>
  <c r="K3" i="14"/>
  <c r="I3" i="14" s="1"/>
  <c r="K4" i="14"/>
  <c r="I4" i="14" s="1"/>
  <c r="H3" i="14"/>
  <c r="H4" i="14"/>
  <c r="L2" i="14"/>
  <c r="K2" i="14"/>
  <c r="I2" i="14" s="1"/>
  <c r="H2" i="14"/>
  <c r="L2" i="2"/>
  <c r="L3" i="2"/>
  <c r="L4" i="2"/>
  <c r="L5" i="2"/>
  <c r="L6" i="2"/>
  <c r="L7" i="2"/>
  <c r="K2" i="2"/>
  <c r="K3" i="2"/>
  <c r="K4" i="2"/>
  <c r="M4" i="2" s="1"/>
  <c r="K5" i="2"/>
  <c r="K6" i="2"/>
  <c r="K7" i="2"/>
  <c r="G3" i="3"/>
  <c r="H3" i="3" s="1"/>
  <c r="G4" i="3"/>
  <c r="H4" i="3" s="1"/>
  <c r="G5" i="3"/>
  <c r="H5" i="3" s="1"/>
  <c r="G6" i="3"/>
  <c r="I6" i="3" s="1"/>
  <c r="G7" i="3"/>
  <c r="H7" i="3" s="1"/>
  <c r="G8" i="3"/>
  <c r="H8" i="3" s="1"/>
  <c r="G9" i="3"/>
  <c r="H9" i="3" s="1"/>
  <c r="G2" i="3"/>
  <c r="I2" i="3" s="1"/>
  <c r="J2" i="3" s="1"/>
  <c r="G3" i="12"/>
  <c r="G4" i="12"/>
  <c r="G2" i="12"/>
  <c r="D4" i="13"/>
  <c r="G4" i="13" s="1"/>
  <c r="D3" i="13"/>
  <c r="G3" i="13" s="1"/>
  <c r="D2" i="13"/>
  <c r="G2" i="13" s="1"/>
  <c r="J2" i="10"/>
  <c r="J2" i="7"/>
  <c r="H4" i="6"/>
  <c r="H3" i="6"/>
  <c r="H2" i="6"/>
  <c r="D4" i="11" s="1"/>
  <c r="E4" i="11" s="1"/>
  <c r="L2" i="10" l="1"/>
  <c r="A3" i="17"/>
  <c r="F10" i="16"/>
  <c r="H10" i="16" s="1"/>
  <c r="I10" i="16" s="1"/>
  <c r="F8" i="16"/>
  <c r="F6" i="16"/>
  <c r="H6" i="16" s="1"/>
  <c r="I6" i="16" s="1"/>
  <c r="F9" i="16"/>
  <c r="H9" i="16" s="1"/>
  <c r="I9" i="16" s="1"/>
  <c r="F7" i="16"/>
  <c r="H7" i="16" s="1"/>
  <c r="I7" i="16" s="1"/>
  <c r="F5" i="16"/>
  <c r="H5" i="16" s="1"/>
  <c r="I5" i="16" s="1"/>
  <c r="J10" i="14"/>
  <c r="J8" i="14"/>
  <c r="J9" i="14"/>
  <c r="J7" i="14"/>
  <c r="J6" i="14"/>
  <c r="J5" i="14"/>
  <c r="I3" i="16"/>
  <c r="I2" i="16"/>
  <c r="I4" i="16"/>
  <c r="P4" i="2"/>
  <c r="J3" i="14"/>
  <c r="J4" i="14"/>
  <c r="J2" i="14"/>
  <c r="M5" i="2"/>
  <c r="B8" i="17" s="1"/>
  <c r="M7" i="2"/>
  <c r="M2" i="2"/>
  <c r="E2" i="14" s="1"/>
  <c r="M6" i="2"/>
  <c r="B9" i="17" s="1"/>
  <c r="M3" i="2"/>
  <c r="H6" i="3"/>
  <c r="J6" i="3" s="1"/>
  <c r="D6" i="14" s="1"/>
  <c r="C3" i="12" a="1"/>
  <c r="C3" i="12" s="1"/>
  <c r="C4" i="12" a="1"/>
  <c r="C4" i="12" s="1"/>
  <c r="H2" i="3"/>
  <c r="I9" i="3"/>
  <c r="J9" i="3" s="1"/>
  <c r="D9" i="14" s="1"/>
  <c r="I8" i="3"/>
  <c r="J8" i="3" s="1"/>
  <c r="D8" i="14" s="1"/>
  <c r="I7" i="3"/>
  <c r="J7" i="3" s="1"/>
  <c r="D7" i="14" s="1"/>
  <c r="I5" i="3"/>
  <c r="J5" i="3" s="1"/>
  <c r="D5" i="14" s="1"/>
  <c r="I4" i="3"/>
  <c r="J4" i="3" s="1"/>
  <c r="I3" i="3"/>
  <c r="J3" i="3" s="1"/>
  <c r="L5" i="3" s="1"/>
  <c r="H8" i="16" l="1"/>
  <c r="I8" i="16" s="1"/>
  <c r="B7" i="17"/>
  <c r="B10" i="17" s="1"/>
  <c r="E8" i="14"/>
  <c r="F8" i="14" s="1"/>
  <c r="E9" i="14"/>
  <c r="E10" i="14"/>
  <c r="E5" i="14"/>
  <c r="F5" i="14" s="1"/>
  <c r="G5" i="14" s="1"/>
  <c r="E6" i="14"/>
  <c r="E7" i="14"/>
  <c r="D4" i="14"/>
  <c r="D10" i="14"/>
  <c r="L3" i="3"/>
  <c r="L4" i="3"/>
  <c r="D3" i="14"/>
  <c r="L8" i="3"/>
  <c r="L7" i="3"/>
  <c r="L6" i="3"/>
  <c r="L9" i="3"/>
  <c r="L2" i="3"/>
  <c r="M2" i="3"/>
  <c r="M3" i="3"/>
  <c r="M4" i="3"/>
  <c r="M5" i="3"/>
  <c r="M6" i="3"/>
  <c r="M7" i="3"/>
  <c r="M8" i="3"/>
  <c r="M9" i="3"/>
  <c r="K9" i="3"/>
  <c r="K8" i="3"/>
  <c r="K3" i="3"/>
  <c r="K7" i="3"/>
  <c r="K6" i="3"/>
  <c r="K5" i="3"/>
  <c r="K4" i="3"/>
  <c r="K2" i="3"/>
  <c r="E3" i="14"/>
  <c r="E4" i="14"/>
  <c r="N7" i="2"/>
  <c r="D2" i="14"/>
  <c r="F2" i="14" s="1"/>
  <c r="L3" i="14" s="1"/>
  <c r="N6" i="2"/>
  <c r="N3" i="2"/>
  <c r="N2" i="2"/>
  <c r="N4" i="2"/>
  <c r="N5" i="2"/>
  <c r="C2" i="12" a="1"/>
  <c r="C2" i="12" s="1"/>
  <c r="E2" i="12" s="1"/>
  <c r="D2" i="11"/>
  <c r="E2" i="11" s="1"/>
  <c r="F9" i="14" l="1"/>
  <c r="G9" i="14" s="1"/>
  <c r="F6" i="14"/>
  <c r="G6" i="14" s="1"/>
  <c r="G8" i="14"/>
  <c r="O2" i="2"/>
  <c r="F3" i="14"/>
  <c r="F4" i="14" s="1"/>
  <c r="L10" i="14" s="1"/>
  <c r="F10" i="14" s="1"/>
  <c r="G2" i="14"/>
  <c r="F2" i="12"/>
  <c r="E3" i="12"/>
  <c r="E4" i="12" s="1"/>
  <c r="F4" i="12" s="1"/>
  <c r="P2" i="2" l="1"/>
  <c r="O6" i="2"/>
  <c r="F7" i="14"/>
  <c r="G7" i="14" s="1"/>
  <c r="O7" i="2"/>
  <c r="P7" i="2" s="1"/>
  <c r="G10" i="14"/>
  <c r="G3" i="14"/>
  <c r="F3" i="12"/>
  <c r="C9" i="16" l="1"/>
  <c r="C10" i="16"/>
  <c r="C8" i="16"/>
  <c r="P6" i="2"/>
  <c r="C9" i="17"/>
  <c r="O5" i="2"/>
  <c r="G4" i="14"/>
  <c r="O3" i="2"/>
  <c r="J9" i="16" l="1"/>
  <c r="K9" i="16"/>
  <c r="J8" i="16"/>
  <c r="K8" i="16"/>
  <c r="J10" i="16"/>
  <c r="K10" i="16"/>
  <c r="D9" i="17"/>
  <c r="C5" i="16"/>
  <c r="C6" i="16"/>
  <c r="C7" i="16"/>
  <c r="P5" i="2"/>
  <c r="D8" i="17" s="1"/>
  <c r="C8" i="17"/>
  <c r="C7" i="17"/>
  <c r="P3" i="2"/>
  <c r="D7" i="17" s="1"/>
  <c r="B3" i="17"/>
  <c r="J5" i="16" l="1"/>
  <c r="K5" i="16"/>
  <c r="J7" i="16"/>
  <c r="K7" i="16"/>
  <c r="J6" i="16"/>
  <c r="K6" i="16"/>
  <c r="D10" i="17"/>
  <c r="C10" i="17"/>
  <c r="C2" i="16"/>
  <c r="C4" i="16"/>
  <c r="A5" i="17"/>
  <c r="B5" i="17" s="1"/>
  <c r="C2" i="15"/>
  <c r="C3" i="16"/>
  <c r="J4" i="16" l="1"/>
  <c r="K4" i="16"/>
  <c r="J3" i="16"/>
  <c r="K3" i="16"/>
  <c r="J2" i="16"/>
  <c r="K2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H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ATP = On Hand - Committed - Protected Minimum - Active Reservations. Avoid subtracting reservations twice if committed quantity already includes them.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H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Open unshipped quantity excludes quantities already shipped to OTW. If data defines open quantity differently, adapt the formula and reconciliation rule.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In a production model, reservations should be treated as a persistent transaction ledger and reconciled to supply sources. This workbook is a starter, not yet an automated reservation engine.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<sst xmlns="http://schemas.openxmlformats.org/spreadsheetml/2006/main" count="448" uniqueCount="263">
  <si>
    <t>MULTI-LOCATION INVENTORY ALLOCATION &amp; PURCHASING INTELLIGENCE</t>
  </si>
  <si>
    <t>Purpose</t>
  </si>
  <si>
    <t>Build a testable inventory decision-support model using fictional data. This is a portfolio simulation, not a live inventory system.</t>
  </si>
  <si>
    <t>Build sequence</t>
  </si>
  <si>
    <t>1</t>
  </si>
  <si>
    <t>Review this sheet and inspect each source table.</t>
  </si>
  <si>
    <t>2</t>
  </si>
  <si>
    <t>Calculate available-to-promise (ATP) inventory after commitments and protected stock.</t>
  </si>
  <si>
    <t>3</t>
  </si>
  <si>
    <t>Add allocation rows that link each order line to a specific supply source.</t>
  </si>
  <si>
    <t>4</t>
  </si>
  <si>
    <t>Record confirmed reservations separately; do not rely on formulas alone to remember promises.</t>
  </si>
  <si>
    <t>5</t>
  </si>
  <si>
    <t>Reconcile PO and OnTheWater lines so the same units are not counted twice.</t>
  </si>
  <si>
    <t>6</t>
  </si>
  <si>
    <t>Compare supplier delivery scenarios and test edge cases.</t>
  </si>
  <si>
    <t>7</t>
  </si>
  <si>
    <t>Build a summary dashboard only after the calculations pass tests.</t>
  </si>
  <si>
    <t>Important modeling rules</t>
  </si>
  <si>
    <t>•</t>
  </si>
  <si>
    <t>Quote lines do not consume inventory; only confirmed orders are included in the demand queue.</t>
  </si>
  <si>
    <t>Available stock = on hand − existing commitments − protected/minimum stock − active reservations not already reflected in commitments.</t>
  </si>
  <si>
    <t>A PO line shipped to OTW must not be counted as unshipped open-PO supply for the same quantity.</t>
  </si>
  <si>
    <t>A supply source can only be allocated up to its remaining unreserved quantity.</t>
  </si>
  <si>
    <t>Arrival dates must be compared with each order's required date; quantity alone does not mean an order is fulfillable on time.</t>
  </si>
  <si>
    <t>Allocation priority is a business rule. For this simulation, confirmed orders are sorted by required date, then order ID.</t>
  </si>
  <si>
    <t>SO_Line_ID</t>
  </si>
  <si>
    <t>Order_ID</t>
  </si>
  <si>
    <t>Order_Type</t>
  </si>
  <si>
    <t>Order_Status</t>
  </si>
  <si>
    <t>Order_Date</t>
  </si>
  <si>
    <t>Required_Date</t>
  </si>
  <si>
    <t>Destination_Location</t>
  </si>
  <si>
    <t>Item_ID</t>
  </si>
  <si>
    <t>Order_Qty</t>
  </si>
  <si>
    <t>Priority</t>
  </si>
  <si>
    <t>SOL-1001</t>
  </si>
  <si>
    <t>SO-1001</t>
  </si>
  <si>
    <t>Sales Order</t>
  </si>
  <si>
    <t>Confirmed</t>
  </si>
  <si>
    <t>ST-EAST</t>
  </si>
  <si>
    <t>SKU-A</t>
  </si>
  <si>
    <t>SOL-1002</t>
  </si>
  <si>
    <t>SO-1002</t>
  </si>
  <si>
    <t>ST-NORTH</t>
  </si>
  <si>
    <t>SOL-1003</t>
  </si>
  <si>
    <t>QT-2001</t>
  </si>
  <si>
    <t>Quote</t>
  </si>
  <si>
    <t>Open</t>
  </si>
  <si>
    <t>ST-WEST</t>
  </si>
  <si>
    <t>SKU-B</t>
  </si>
  <si>
    <t>SOL-1004</t>
  </si>
  <si>
    <t>SO-1003</t>
  </si>
  <si>
    <t>SOL-1005</t>
  </si>
  <si>
    <t>SO-1004</t>
  </si>
  <si>
    <t>SKU-C</t>
  </si>
  <si>
    <t>SOL-1006</t>
  </si>
  <si>
    <t>SO-1005</t>
  </si>
  <si>
    <t>ST-SOUTH</t>
  </si>
  <si>
    <t>Inventory_ID</t>
  </si>
  <si>
    <t>Location_ID</t>
  </si>
  <si>
    <t>On_Hand</t>
  </si>
  <si>
    <t>Committed_Qty</t>
  </si>
  <si>
    <t>Protected_Min_Qty</t>
  </si>
  <si>
    <t>Active_Reservation_Qty</t>
  </si>
  <si>
    <t>ATP_Qty</t>
  </si>
  <si>
    <t>INV-001</t>
  </si>
  <si>
    <t>INV-002</t>
  </si>
  <si>
    <t>INV-003</t>
  </si>
  <si>
    <t>DC-CENTRAL</t>
  </si>
  <si>
    <t>INV-004</t>
  </si>
  <si>
    <t>INV-005</t>
  </si>
  <si>
    <t>INV-006</t>
  </si>
  <si>
    <t>INV-007</t>
  </si>
  <si>
    <t>INV-008</t>
  </si>
  <si>
    <t>Location_Name</t>
  </si>
  <si>
    <t>Region</t>
  </si>
  <si>
    <t>Location_Type</t>
  </si>
  <si>
    <t>Latitude</t>
  </si>
  <si>
    <t>Longitude</t>
  </si>
  <si>
    <t>Transfer_Cost_Per_Mile</t>
  </si>
  <si>
    <t>Default_Transit_Days</t>
  </si>
  <si>
    <t>East Branch</t>
  </si>
  <si>
    <t>East</t>
  </si>
  <si>
    <t>Store</t>
  </si>
  <si>
    <t>North Branch</t>
  </si>
  <si>
    <t>North</t>
  </si>
  <si>
    <t>West Branch</t>
  </si>
  <si>
    <t>West</t>
  </si>
  <si>
    <t>South Branch</t>
  </si>
  <si>
    <t>South</t>
  </si>
  <si>
    <t>Central Distribution Center</t>
  </si>
  <si>
    <t>Central</t>
  </si>
  <si>
    <t>DC</t>
  </si>
  <si>
    <t>Supplier_ID</t>
  </si>
  <si>
    <t>Supplier_Name</t>
  </si>
  <si>
    <t>Origin_Region</t>
  </si>
  <si>
    <t>Production_Lead_Days</t>
  </si>
  <si>
    <t>Freight_Mode</t>
  </si>
  <si>
    <t>Transit_Days_To_DC</t>
  </si>
  <si>
    <t>Customs_Buffer_Days</t>
  </si>
  <si>
    <t>Domestic_Days</t>
  </si>
  <si>
    <t>Estimated_Freight_Cost</t>
  </si>
  <si>
    <t>Assumption_Notes</t>
  </si>
  <si>
    <t>SUP-EU</t>
  </si>
  <si>
    <t>Northstar Components</t>
  </si>
  <si>
    <t>Europe</t>
  </si>
  <si>
    <t>Air</t>
  </si>
  <si>
    <t>Fictional scenario; editable assumptions</t>
  </si>
  <si>
    <t>SUP-AS</t>
  </si>
  <si>
    <t>Pacific Parts Co</t>
  </si>
  <si>
    <t>Asia</t>
  </si>
  <si>
    <t>Ocean</t>
  </si>
  <si>
    <t>SUP-US</t>
  </si>
  <si>
    <t>Domestic Supply Group</t>
  </si>
  <si>
    <t>United States</t>
  </si>
  <si>
    <t>Truck</t>
  </si>
  <si>
    <t>PO_Line_ID</t>
  </si>
  <si>
    <t>PO_ID</t>
  </si>
  <si>
    <t>Ordered_Qty</t>
  </si>
  <si>
    <t>Received_Qty</t>
  </si>
  <si>
    <t>Shipped_To_OTW_Qty</t>
  </si>
  <si>
    <t>Open_Unshipped_Qty</t>
  </si>
  <si>
    <t>Expected_Arrival_Date</t>
  </si>
  <si>
    <t>Status</t>
  </si>
  <si>
    <t>POL-001</t>
  </si>
  <si>
    <t>PO-501</t>
  </si>
  <si>
    <t>Partially Shipped</t>
  </si>
  <si>
    <t>POL-002</t>
  </si>
  <si>
    <t>PO-502</t>
  </si>
  <si>
    <t>POL-003</t>
  </si>
  <si>
    <t>PO-503</t>
  </si>
  <si>
    <t>Shipment_Line_ID</t>
  </si>
  <si>
    <t>Container_ID</t>
  </si>
  <si>
    <t>Shipped_Qty</t>
  </si>
  <si>
    <t>OTW_Open_Qty</t>
  </si>
  <si>
    <t>OTW-001</t>
  </si>
  <si>
    <t>CONT-EU-01</t>
  </si>
  <si>
    <t>Assumption_ID</t>
  </si>
  <si>
    <t>Rule_Name</t>
  </si>
  <si>
    <t>Value</t>
  </si>
  <si>
    <t>Unit</t>
  </si>
  <si>
    <t>Explanation</t>
  </si>
  <si>
    <t>ASM-001</t>
  </si>
  <si>
    <t>Order allocation priority</t>
  </si>
  <si>
    <t>Required date then priority</t>
  </si>
  <si>
    <t>Text</t>
  </si>
  <si>
    <t>Only confirmed sales orders consume inventory in the first version.</t>
  </si>
  <si>
    <t>ASM-002</t>
  </si>
  <si>
    <t>Default transfer buffer</t>
  </si>
  <si>
    <t>Days</t>
  </si>
  <si>
    <t>Add to estimated transit days if handling time is needed.</t>
  </si>
  <si>
    <t>ASM-003</t>
  </si>
  <si>
    <t>Allow split shipments</t>
  </si>
  <si>
    <t>Yes</t>
  </si>
  <si>
    <t>Boolean</t>
  </si>
  <si>
    <t>A sales-order line may be fulfilled from more than one source.</t>
  </si>
  <si>
    <t>ASM-004</t>
  </si>
  <si>
    <t>Quote reservation behavior</t>
  </si>
  <si>
    <t>No automatic allocation</t>
  </si>
  <si>
    <t>Quotes are excluded from committed demand unless explicitly converted.</t>
  </si>
  <si>
    <t>ASM-005</t>
  </si>
  <si>
    <t>PO/OTW deduplication</t>
  </si>
  <si>
    <t>Exclude shipped quantity from open PO</t>
  </si>
  <si>
    <t>Shipped quantities are represented by OTW rows, not unshipped PO supply.</t>
  </si>
  <si>
    <t>Reservation_ID</t>
  </si>
  <si>
    <t>Supply_Source_Type</t>
  </si>
  <si>
    <t>Supply_Source_ID</t>
  </si>
  <si>
    <t>Location_or_Destination</t>
  </si>
  <si>
    <t>Qty_Reserved</t>
  </si>
  <si>
    <t>Reservation_Status</t>
  </si>
  <si>
    <t>Created_Date</t>
  </si>
  <si>
    <t>Notes</t>
  </si>
  <si>
    <t>RES-001</t>
  </si>
  <si>
    <t>Inventory</t>
  </si>
  <si>
    <t>Example reservation for testing; adjust active reservation qty in Inventory consistently.</t>
  </si>
  <si>
    <t>Allocation_ID</t>
  </si>
  <si>
    <t>Source_Location</t>
  </si>
  <si>
    <t>Allocated_Qty</t>
  </si>
  <si>
    <t>On_Time_Flag</t>
  </si>
  <si>
    <t>AL-001</t>
  </si>
  <si>
    <t>Example only; allocation quantities are not yet automated.</t>
  </si>
  <si>
    <t>Test_ID</t>
  </si>
  <si>
    <t>Scenario</t>
  </si>
  <si>
    <t>Expected_Result</t>
  </si>
  <si>
    <t>Actual_Result</t>
  </si>
  <si>
    <t>Pass_Fail</t>
  </si>
  <si>
    <t>T-001</t>
  </si>
  <si>
    <t>ATP calculation</t>
  </si>
  <si>
    <t>INV-001 ATP = 40</t>
  </si>
  <si>
    <t>55 on hand - 10 committed - 5 protected - 0 active reservations = 40</t>
  </si>
  <si>
    <t>T-002</t>
  </si>
  <si>
    <t>Quote handling</t>
  </si>
  <si>
    <t>SOL-1003 excluded from confirmed demand</t>
  </si>
  <si>
    <t>Manual check</t>
  </si>
  <si>
    <t>T-003</t>
  </si>
  <si>
    <t>20 shipped units are OTW; PO open-unshipped excludes those 20</t>
  </si>
  <si>
    <t>PO ordered 50 - shipped 20 - received 0 = 30 open unshipped</t>
  </si>
  <si>
    <t>T-004</t>
  </si>
  <si>
    <t>No double allocation</t>
  </si>
  <si>
    <t>Total allocations against a source cannot exceed source available quantity</t>
  </si>
  <si>
    <t>T-005</t>
  </si>
  <si>
    <t>Late arrival</t>
  </si>
  <si>
    <t>Supply arriving after required date is not counted as on-time fulfillment</t>
  </si>
  <si>
    <t>Branch</t>
  </si>
  <si>
    <t>ATP</t>
  </si>
  <si>
    <t>Delivery Days</t>
  </si>
  <si>
    <t>Eligible_Qty</t>
  </si>
  <si>
    <t>Deadline_days</t>
  </si>
  <si>
    <t>Abuja</t>
  </si>
  <si>
    <t>Kaduna</t>
  </si>
  <si>
    <t>Lagos</t>
  </si>
  <si>
    <t>Location_Id</t>
  </si>
  <si>
    <t>Item_Id</t>
  </si>
  <si>
    <t>Remaining_Qty</t>
  </si>
  <si>
    <t>RES-002</t>
  </si>
  <si>
    <t>PRACTICE-001</t>
  </si>
  <si>
    <t>Practice reservation — not yet applied to inventory</t>
  </si>
  <si>
    <t>Confirmed_Reservations</t>
  </si>
  <si>
    <t>Released</t>
  </si>
  <si>
    <t>Commitment_Review</t>
  </si>
  <si>
    <t>Allocatable_Qty</t>
  </si>
  <si>
    <t>Allocation_Eligibility</t>
  </si>
  <si>
    <t>Already_Reserved_Qty</t>
  </si>
  <si>
    <t>New_Allocation_Need</t>
  </si>
  <si>
    <t>Available_Supply_Qty</t>
  </si>
  <si>
    <t>Allocation_Review</t>
  </si>
  <si>
    <t>Proposed_Source_ID</t>
  </si>
  <si>
    <t>Available_Qty</t>
  </si>
  <si>
    <t>Outstanding_Need</t>
  </si>
  <si>
    <t>Proposed_Qty</t>
  </si>
  <si>
    <t>Proposal_Status</t>
  </si>
  <si>
    <t>Delivery_Status</t>
  </si>
  <si>
    <t>Transit_Days</t>
  </si>
  <si>
    <t>Previously_Proposed_Qty</t>
  </si>
  <si>
    <t>Product_Match</t>
  </si>
  <si>
    <t>Proposed_Fulfillment_Qty</t>
  </si>
  <si>
    <t>Unfulfilled_Qty</t>
  </si>
  <si>
    <t>OTW_Available_By_Deadline</t>
  </si>
  <si>
    <t>Total_Lead_Days</t>
  </si>
  <si>
    <t>Shortage_Qty</t>
  </si>
  <si>
    <t>Proposed_PO_Date</t>
  </si>
  <si>
    <t>Deadline_Status</t>
  </si>
  <si>
    <t>Purchasing_Recommendation</t>
  </si>
  <si>
    <t>Action_Required</t>
  </si>
  <si>
    <t>MULTI-LOCATION INVENTORY &amp; PURCHASING DASHBOARD</t>
  </si>
  <si>
    <t>Total Confirmed Demand</t>
  </si>
  <si>
    <t>Proposed Fulfillment</t>
  </si>
  <si>
    <t>Unfulfilled Demand</t>
  </si>
  <si>
    <t>Total</t>
  </si>
  <si>
    <t>KEY BUSINESS INSIGHTS</t>
  </si>
  <si>
    <t>SKU-A accounts for 30 of the 32 unfulfilled units.</t>
  </si>
  <si>
    <t>SKU-C has an additional shortage of 2 units.</t>
  </si>
  <si>
    <t>Existing incoming inventory requires a deadline review before it can be used to cover shortages.</t>
  </si>
  <si>
    <t>INV-001 remains excluded from new allocation proposals pending commitment reconciliation.</t>
  </si>
  <si>
    <t>Supplier feasibility depends on product availability and actual purchase timing.</t>
  </si>
  <si>
    <t>Product</t>
  </si>
  <si>
    <t>Outstanding Demand</t>
  </si>
  <si>
    <t>Proposed Supply</t>
  </si>
  <si>
    <t>Shortage</t>
  </si>
  <si>
    <t>Provisional Coverage %</t>
  </si>
  <si>
    <t>Validation_Notes</t>
  </si>
  <si>
    <t>Allocation of 15 units and reservation of 10 units for SOL-1001 require reconciliation before approval.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</si>
</sst>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70" formatCode="yyyy\-mm\-dd;@"/>
  </numFmts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2"/>
      <color rgb="FF17365D"/>
      <name val="Calibri"/>
      <family val="2"/>
    </font>
    <font>
      <b/>
      <sz val="11"/>
      <color rgb="FF17365D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7FAFD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164" fontId="0" fillId="3" borderId="0" xfId="0" applyNumberFormat="1" applyFill="1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5" fillId="0" borderId="0" xfId="0" applyFont="1"/>
    <xf numFmtId="0" fontId="0" fillId="3" borderId="0" xfId="0" applyNumberFormat="1" applyFill="1" applyAlignment="1">
      <alignment vertical="top" wrapText="1"/>
    </xf>
    <xf numFmtId="0" fontId="0" fillId="0" borderId="0" xfId="0" applyNumberFormat="1" applyAlignment="1">
      <alignment vertical="top" wrapText="1"/>
    </xf>
    <xf numFmtId="164" fontId="0" fillId="3" borderId="1" xfId="0" applyNumberFormat="1" applyFont="1" applyFill="1" applyBorder="1" applyAlignment="1">
      <alignment vertical="top" wrapText="1"/>
    </xf>
    <xf numFmtId="164" fontId="0" fillId="0" borderId="1" xfId="0" applyNumberFormat="1" applyFont="1" applyBorder="1" applyAlignment="1">
      <alignment vertical="top" wrapText="1"/>
    </xf>
    <xf numFmtId="0" fontId="0" fillId="3" borderId="1" xfId="0" applyNumberFormat="1" applyFont="1" applyFill="1" applyBorder="1" applyAlignment="1">
      <alignment vertical="top" wrapText="1"/>
    </xf>
    <xf numFmtId="0" fontId="0" fillId="0" borderId="1" xfId="0" applyNumberFormat="1" applyFont="1" applyBorder="1" applyAlignment="1">
      <alignment vertical="top" wrapText="1"/>
    </xf>
    <xf numFmtId="170" fontId="0" fillId="0" borderId="0" xfId="0" applyNumberFormat="1"/>
    <xf numFmtId="0" fontId="10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0" fillId="6" borderId="0" xfId="0" applyFill="1"/>
    <xf numFmtId="0" fontId="11" fillId="6" borderId="2" xfId="0" applyFont="1" applyFill="1" applyBorder="1"/>
    <xf numFmtId="0" fontId="0" fillId="0" borderId="4" xfId="0" applyBorder="1"/>
    <xf numFmtId="0" fontId="7" fillId="0" borderId="3" xfId="0" applyFont="1" applyBorder="1" applyAlignment="1">
      <alignment horizontal="left"/>
    </xf>
    <xf numFmtId="10" fontId="7" fillId="0" borderId="3" xfId="0" applyNumberFormat="1" applyFont="1" applyBorder="1" applyAlignment="1">
      <alignment horizontal="left"/>
    </xf>
  </cellXfs>
  <cellStyles count="1">
    <cellStyle name="Normal" xfId="0" builtinId="0"/>
  </cellStyles>
  <dxfs count="14">
    <dxf>
      <fill>
        <patternFill patternType="solid">
          <fgColor indexed="64"/>
          <bgColor rgb="FFF7FAFD"/>
        </patternFill>
      </fill>
      <alignment horizontal="general" vertical="top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>
                <a:solidFill>
                  <a:sysClr val="windowText" lastClr="000000"/>
                </a:solidFill>
              </a:rPr>
              <a:t>Proposed Fulfillment vs Inventory Shortage by Product.</a:t>
            </a:r>
            <a:endParaRPr lang="en-US" sz="12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Dashboard!$C$6</c:f>
              <c:strCache>
                <c:ptCount val="1"/>
                <c:pt idx="0">
                  <c:v>Proposed Supply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Dashboard!$A$7:$A$9</c:f>
              <c:strCache>
                <c:ptCount val="3"/>
                <c:pt idx="0">
                  <c:v>SKU-A</c:v>
                </c:pt>
                <c:pt idx="1">
                  <c:v>SKU-B</c:v>
                </c:pt>
                <c:pt idx="2">
                  <c:v>SKU-C</c:v>
                </c:pt>
              </c:strCache>
            </c:strRef>
          </c:cat>
          <c:val>
            <c:numRef>
              <c:f>Dashboard!$C$7:$C$9</c:f>
              <c:numCache>
                <c:formatCode>General</c:formatCode>
                <c:ptCount val="3"/>
                <c:pt idx="0">
                  <c:v>60</c:v>
                </c:pt>
                <c:pt idx="1">
                  <c:v>30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7-4457-A9DD-905940B69048}"/>
            </c:ext>
          </c:extLst>
        </c:ser>
        <c:ser>
          <c:idx val="1"/>
          <c:order val="1"/>
          <c:tx>
            <c:strRef>
              <c:f>Dashboard!$D$6</c:f>
              <c:strCache>
                <c:ptCount val="1"/>
                <c:pt idx="0">
                  <c:v>Shortage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Dashboard!$A$7:$A$9</c:f>
              <c:strCache>
                <c:ptCount val="3"/>
                <c:pt idx="0">
                  <c:v>SKU-A</c:v>
                </c:pt>
                <c:pt idx="1">
                  <c:v>SKU-B</c:v>
                </c:pt>
                <c:pt idx="2">
                  <c:v>SKU-C</c:v>
                </c:pt>
              </c:strCache>
            </c:strRef>
          </c:cat>
          <c:val>
            <c:numRef>
              <c:f>Dashboard!$D$7:$D$9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37-4457-A9DD-905940B690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404463"/>
        <c:axId val="703718591"/>
      </c:barChart>
      <c:catAx>
        <c:axId val="3040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718591"/>
        <c:crosses val="autoZero"/>
        <c:auto val="1"/>
        <c:lblAlgn val="ctr"/>
        <c:lblOffset val="100"/>
        <c:noMultiLvlLbl val="0"/>
      </c:catAx>
      <c:valAx>
        <c:axId val="70371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04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101599</xdr:colOff>
      <xdr:row>5</xdr:row>
      <xdr:rowOff>1</xdr:rowOff>
    </xdr:from>
    <xdr:to>
      <xdr:col>11</xdr:col>
      <xdr:colOff>209550</xdr:colOff>
      <xdr:row>17</xdr:row>
      <xdr:rowOff>171451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F21E7D-077A-B369-CA08-440D3CD62C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31750</xdr:colOff>
      <xdr:row>19</xdr:row>
      <xdr:rowOff>12700</xdr:rowOff>
    </xdr:from>
    <xdr:to>
      <xdr:col>6</xdr:col>
      <xdr:colOff>12700</xdr:colOff>
      <xdr:row>24</xdr:row>
      <xdr:rowOff>165100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6174D14-14B2-96B8-31C0-BA134A964936}"/>
            </a:ext>
          </a:extLst>
        </xdr:cNvPr>
        <xdr:cNvSpPr txBox="1"/>
      </xdr:nvSpPr>
      <xdr:spPr>
        <a:xfrm>
          <a:off x="31750" y="4000500"/>
          <a:ext cx="7658100" cy="1073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 b="1"/>
            <a:t>Portfolio prototype using fictional data. Allocation results are recommendations, not confirmed fulfillment. Original reservation/allocation discrepancies remain flagged for review. Delivery estimates use simplified assumptions.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Orders" displayName="tblSalesOrders" ref="A1:P7">
  <autoFilter ref="A1:P7" xr:uid="{00000000-0009-0000-0100-000001000000}">
    <filterColumn colId="15">
      <customFilters>
        <customFilter operator="greaterThan" val="0"/>
      </customFilters>
    </filterColumn>
  </autoFilter>
  <tableColumns count="16">
    <tableColumn id="1" xr3:uid="{00000000-0010-0000-0000-000001000000}" name="SO_Line_ID"/>
    <tableColumn id="2" xr3:uid="{00000000-0010-0000-0000-000002000000}" name="Order_ID"/>
    <tableColumn id="3" xr3:uid="{00000000-0010-0000-0000-000003000000}" name="Order_Type"/>
    <tableColumn id="4" xr3:uid="{00000000-0010-0000-0000-000004000000}" name="Order_Status"/>
    <tableColumn id="5" xr3:uid="{00000000-0010-0000-0000-000005000000}" name="Order_Date"/>
    <tableColumn id="6" xr3:uid="{00000000-0010-0000-0000-000006000000}" name="Required_Date"/>
    <tableColumn id="7" xr3:uid="{00000000-0010-0000-0000-000007000000}" name="Destination_Location"/>
    <tableColumn id="8" xr3:uid="{00000000-0010-0000-0000-000008000000}" name="Item_ID"/>
    <tableColumn id="9" xr3:uid="{00000000-0010-0000-0000-000009000000}" name="Order_Qty"/>
    <tableColumn id="10" xr3:uid="{00000000-0010-0000-0000-00000A000000}" name="Priority"/>
    <tableColumn id="11" xr3:uid="{DECC51BD-6934-4C32-9C32-E94A70D2E5D1}" name="Allocation_Eligibility" dataDxfId="13">
      <calculatedColumnFormula>IF(AND(C2="Sales Order",D2="Confirmed"),"Eligible","Exclude")</calculatedColumnFormula>
    </tableColumn>
    <tableColumn id="12" xr3:uid="{0DB18552-063A-497A-8117-4F94B1702905}" name="Already_Reserved_Qty" dataDxfId="12">
      <calculatedColumnFormula>SUMIFS(Reservations!$G:$G,Reservations!$B:$B,A2,Reservations!$H:$H,"Confirmed")</calculatedColumnFormula>
    </tableColumn>
    <tableColumn id="13" xr3:uid="{11C685E7-1891-4578-AF5B-BF40CB61DA0B}" name="New_Allocation_Need" dataDxfId="11">
      <calculatedColumnFormula>IF(K2="Eligible",MAX(0,I2-L2),0)</calculatedColumnFormula>
    </tableColumn>
    <tableColumn id="14" xr3:uid="{811D9E22-0013-471D-A8F6-5CAC91B2C909}" name="Available_Supply_Qty" dataDxfId="10">
      <calculatedColumnFormula>SUMIFS(tblInventory[Allocatable_Qty],tblInventory[Item_ID],H2)</calculatedColumnFormula>
    </tableColumn>
    <tableColumn id="15" xr3:uid="{B837AE16-808C-45A6-A7DF-DA3A2FBA3A75}" name="Proposed_Fulfillment_Qty" dataDxfId="9">
      <calculatedColumnFormula>SUMIFS(Allocation_Proposals!$F:$F,Allocation_Proposals!$A:$A,A2)</calculatedColumnFormula>
    </tableColumn>
    <tableColumn id="16" xr3:uid="{2F8DD40B-CFA5-4E05-AC1C-3D4B7753A5DA}" name="Unfulfilled_Qty" dataDxfId="8">
      <calculatedColumnFormula>IF(K2="Eligible",MAX(0,M2-O2),0)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Inventory" displayName="tblInventory" ref="A1:M9">
  <autoFilter ref="A1:M9" xr:uid="{00000000-0009-0000-0100-000002000000}"/>
  <tableColumns count="13">
    <tableColumn id="1" xr3:uid="{00000000-0010-0000-0100-000001000000}" name="Inventory_ID"/>
    <tableColumn id="2" xr3:uid="{00000000-0010-0000-0100-000002000000}" name="Location_ID"/>
    <tableColumn id="3" xr3:uid="{00000000-0010-0000-0100-000003000000}" name="Item_ID"/>
    <tableColumn id="4" xr3:uid="{00000000-0010-0000-0100-000004000000}" name="On_Hand"/>
    <tableColumn id="5" xr3:uid="{00000000-0010-0000-0100-000005000000}" name="Committed_Qty"/>
    <tableColumn id="6" xr3:uid="{00000000-0010-0000-0100-000006000000}" name="Protected_Min_Qty"/>
    <tableColumn id="7" xr3:uid="{00000000-0010-0000-0100-000007000000}" name="Active_Reservation_Qty" dataDxfId="6">
      <calculatedColumnFormula>SUMIFS(Reservations!$G:$G,Reservations!$D:$D,tblInventory[[#This Row],[Inventory_ID]],Reservations!$C:$C,"Inventory",Reservations!$H:$H,"Confirmed")</calculatedColumnFormula>
    </tableColumn>
    <tableColumn id="8" xr3:uid="{00000000-0010-0000-0100-000008000000}" name="ATP_Qty">
      <calculatedColumnFormula>MAX(0,tblInventory[[#This Row],[On_Hand]]-tblInventory[[#This Row],[Committed_Qty]]-tblInventory[[#This Row],[Protected_Min_Qty]]-tblInventory[[#This Row],[Active_Reservation_Qty]])</calculatedColumnFormula>
    </tableColumn>
    <tableColumn id="9" xr3:uid="{6E7BBA9C-279E-4BC0-A1AB-D45BAE523304}" name="Commitment_Review" dataDxfId="5">
      <calculatedColumnFormula>IF(AND(tblInventory[[#This Row],[Committed_Qty]]&gt;0,tblInventory[[#This Row],[Active_Reservation_Qty]]&gt;0),"REVIEW","OK")</calculatedColumnFormula>
    </tableColumn>
    <tableColumn id="10" xr3:uid="{D2509693-A2A8-4562-9D76-14DB54B235F7}" name="Allocatable_Qty" dataDxfId="4">
      <calculatedColumnFormula>IF(tblInventory[[#This Row],[Commitment_Review]]="REVIEW",0,tblInventory[[#This Row],[ATP_Qty]])</calculatedColumnFormula>
    </tableColumn>
    <tableColumn id="11" xr3:uid="{7C93B095-A0CB-4E68-9FA8-DE8DD88647CA}" name="SKU-B" dataDxfId="3">
      <calculatedColumnFormula>SUMIFS(tblInventory[Allocatable_Qty],tblInventory[Item_ID],"SKU-B")</calculatedColumnFormula>
    </tableColumn>
    <tableColumn id="12" xr3:uid="{DD8D4533-54F4-4714-9BE3-178C86C3597B}" name="SKU-A" dataDxfId="1">
      <calculatedColumnFormula>SUMIFS(tblInventory[Allocatable_Qty],tblInventory[Item_ID],"SKU-A")</calculatedColumnFormula>
    </tableColumn>
    <tableColumn id="13" xr3:uid="{A017BB05-693C-4CD5-ABE4-CC1B1F4660BE}" name="SKU-C" dataDxfId="2">
      <calculatedColumnFormula>SUMIFS(tblInventory[Allocatable_Qty],tblInventory[Item_ID],"SKU-C")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Locations" displayName="tblLocations" ref="A1:H6">
  <autoFilter ref="A1:H6" xr:uid="{00000000-0009-0000-0100-000003000000}"/>
  <tableColumns count="8">
    <tableColumn id="1" xr3:uid="{00000000-0010-0000-0200-000001000000}" name="Location_ID"/>
    <tableColumn id="2" xr3:uid="{00000000-0010-0000-0200-000002000000}" name="Location_Name"/>
    <tableColumn id="3" xr3:uid="{00000000-0010-0000-0200-000003000000}" name="Region"/>
    <tableColumn id="4" xr3:uid="{00000000-0010-0000-0200-000004000000}" name="Location_Type"/>
    <tableColumn id="5" xr3:uid="{00000000-0010-0000-0200-000005000000}" name="Latitude"/>
    <tableColumn id="6" xr3:uid="{00000000-0010-0000-0200-000006000000}" name="Longitude"/>
    <tableColumn id="7" xr3:uid="{00000000-0010-0000-0200-000007000000}" name="Transfer_Cost_Per_Mile"/>
    <tableColumn id="8" xr3:uid="{00000000-0010-0000-0200-000008000000}" name="Default_Transit_Day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Suppliers" displayName="tblSuppliers" ref="A1:K4">
  <autoFilter ref="A1:K4" xr:uid="{00000000-0009-0000-0100-000004000000}"/>
  <tableColumns count="11">
    <tableColumn id="1" xr3:uid="{00000000-0010-0000-0300-000001000000}" name="Supplier_ID"/>
    <tableColumn id="2" xr3:uid="{00000000-0010-0000-0300-000002000000}" name="Supplier_Name"/>
    <tableColumn id="3" xr3:uid="{00000000-0010-0000-0300-000003000000}" name="Origin_Region"/>
    <tableColumn id="4" xr3:uid="{00000000-0010-0000-0300-000004000000}" name="Production_Lead_Days"/>
    <tableColumn id="5" xr3:uid="{00000000-0010-0000-0300-000005000000}" name="Freight_Mode"/>
    <tableColumn id="6" xr3:uid="{00000000-0010-0000-0300-000006000000}" name="Transit_Days_To_DC"/>
    <tableColumn id="7" xr3:uid="{00000000-0010-0000-0300-000007000000}" name="Customs_Buffer_Days"/>
    <tableColumn id="8" xr3:uid="{00000000-0010-0000-0300-000008000000}" name="Domestic_Days"/>
    <tableColumn id="9" xr3:uid="{00000000-0010-0000-0300-000009000000}" name="Estimated_Freight_Cost"/>
    <tableColumn id="10" xr3:uid="{00000000-0010-0000-0300-00000A000000}" name="Assumption_Notes"/>
    <tableColumn id="11" xr3:uid="{356F0296-FAA0-48B1-AD1A-52284C073CEC}" name="Total_Lead_Days" dataDxfId="7">
      <calculatedColumnFormula>SUM(D2,F2:H2)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PurchaseOrders" displayName="tblPurchaseOrders" ref="A1:K4">
  <autoFilter ref="A1:K4" xr:uid="{00000000-0009-0000-0100-000005000000}"/>
  <tableColumns count="11">
    <tableColumn id="1" xr3:uid="{00000000-0010-0000-0400-000001000000}" name="PO_Line_ID"/>
    <tableColumn id="2" xr3:uid="{00000000-0010-0000-0400-000002000000}" name="PO_ID"/>
    <tableColumn id="3" xr3:uid="{00000000-0010-0000-0400-000003000000}" name="Supplier_ID"/>
    <tableColumn id="4" xr3:uid="{00000000-0010-0000-0400-000004000000}" name="Item_ID"/>
    <tableColumn id="5" xr3:uid="{00000000-0010-0000-0400-000005000000}" name="Ordered_Qty"/>
    <tableColumn id="6" xr3:uid="{00000000-0010-0000-0400-000006000000}" name="Received_Qty"/>
    <tableColumn id="7" xr3:uid="{00000000-0010-0000-0400-000007000000}" name="Shipped_To_OTW_Qty"/>
    <tableColumn id="8" xr3:uid="{00000000-0010-0000-0400-000008000000}" name="Open_Unshipped_Qty"/>
    <tableColumn id="9" xr3:uid="{00000000-0010-0000-0400-000009000000}" name="Expected_Arrival_Date"/>
    <tableColumn id="10" xr3:uid="{00000000-0010-0000-0400-00000A000000}" name="Destination_Location"/>
    <tableColumn id="11" xr3:uid="{00000000-0010-0000-0400-00000B000000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OnTheWater" displayName="tblOnTheWater" ref="A1:J2">
  <autoFilter ref="A1:J2" xr:uid="{00000000-0009-0000-0100-000006000000}"/>
  <tableColumns count="10">
    <tableColumn id="1" xr3:uid="{00000000-0010-0000-0500-000001000000}" name="Shipment_Line_ID"/>
    <tableColumn id="2" xr3:uid="{00000000-0010-0000-0500-000002000000}" name="Container_ID"/>
    <tableColumn id="3" xr3:uid="{00000000-0010-0000-0500-000003000000}" name="PO_Line_ID"/>
    <tableColumn id="4" xr3:uid="{00000000-0010-0000-0500-000004000000}" name="Supplier_ID"/>
    <tableColumn id="5" xr3:uid="{00000000-0010-0000-0500-000005000000}" name="Item_ID"/>
    <tableColumn id="6" xr3:uid="{00000000-0010-0000-0500-000006000000}" name="Shipped_Qty"/>
    <tableColumn id="7" xr3:uid="{00000000-0010-0000-0500-000007000000}" name="Expected_Arrival_Date"/>
    <tableColumn id="8" xr3:uid="{00000000-0010-0000-0500-000008000000}" name="Destination_Location"/>
    <tableColumn id="9" xr3:uid="{00000000-0010-0000-0500-000009000000}" name="Received_Qty"/>
    <tableColumn id="10" xr3:uid="{00000000-0010-0000-0500-00000A000000}" name="OTW_Open_Qt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Assumptions" displayName="tblAssumptions" ref="A1:E6">
  <autoFilter ref="A1:E6" xr:uid="{00000000-0009-0000-0100-000007000000}"/>
  <tableColumns count="5">
    <tableColumn id="1" xr3:uid="{00000000-0010-0000-0600-000001000000}" name="Assumption_ID"/>
    <tableColumn id="2" xr3:uid="{00000000-0010-0000-0600-000002000000}" name="Rule_Name"/>
    <tableColumn id="3" xr3:uid="{00000000-0010-0000-0600-000003000000}" name="Value"/>
    <tableColumn id="4" xr3:uid="{00000000-0010-0000-0600-000004000000}" name="Unit"/>
    <tableColumn id="5" xr3:uid="{00000000-0010-0000-0600-000005000000}" name="Explana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eservations" displayName="tblReservations" ref="A1:J3">
  <autoFilter ref="A1:J3" xr:uid="{00000000-0009-0000-0100-000008000000}"/>
  <tableColumns count="10">
    <tableColumn id="1" xr3:uid="{00000000-0010-0000-0700-000001000000}" name="Reservation_ID"/>
    <tableColumn id="2" xr3:uid="{00000000-0010-0000-0700-000002000000}" name="SO_Line_ID"/>
    <tableColumn id="3" xr3:uid="{00000000-0010-0000-0700-000003000000}" name="Supply_Source_Type"/>
    <tableColumn id="4" xr3:uid="{00000000-0010-0000-0700-000004000000}" name="Supply_Source_ID"/>
    <tableColumn id="5" xr3:uid="{00000000-0010-0000-0700-000005000000}" name="Item_ID"/>
    <tableColumn id="6" xr3:uid="{00000000-0010-0000-0700-000006000000}" name="Location_or_Destination"/>
    <tableColumn id="7" xr3:uid="{00000000-0010-0000-0700-000007000000}" name="Qty_Reserved"/>
    <tableColumn id="8" xr3:uid="{00000000-0010-0000-0700-000008000000}" name="Reservation_Status"/>
    <tableColumn id="9" xr3:uid="{00000000-0010-0000-0700-000009000000}" name="Created_Date"/>
    <tableColumn id="10" xr3:uid="{00000000-0010-0000-0700-00000A000000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Allocations" displayName="tblAllocations" ref="A1:M2">
  <autoFilter ref="A1:M2" xr:uid="{00000000-0009-0000-0100-000009000000}"/>
  <tableColumns count="13">
    <tableColumn id="1" xr3:uid="{00000000-0010-0000-0800-000001000000}" name="Allocation_ID"/>
    <tableColumn id="2" xr3:uid="{00000000-0010-0000-0800-000002000000}" name="SO_Line_ID"/>
    <tableColumn id="3" xr3:uid="{00000000-0010-0000-0800-000003000000}" name="Item_ID"/>
    <tableColumn id="4" xr3:uid="{00000000-0010-0000-0800-000004000000}" name="Supply_Source_Type"/>
    <tableColumn id="5" xr3:uid="{00000000-0010-0000-0800-000005000000}" name="Supply_Source_ID"/>
    <tableColumn id="6" xr3:uid="{00000000-0010-0000-0800-000006000000}" name="Source_Location"/>
    <tableColumn id="7" xr3:uid="{00000000-0010-0000-0800-000007000000}" name="Allocated_Qty"/>
    <tableColumn id="8" xr3:uid="{00000000-0010-0000-0800-000008000000}" name="Expected_Arrival_Date"/>
    <tableColumn id="9" xr3:uid="{00000000-0010-0000-0800-000009000000}" name="Required_Date"/>
    <tableColumn id="10" xr3:uid="{00000000-0010-0000-0800-00000A000000}" name="On_Time_Flag"/>
    <tableColumn id="11" xr3:uid="{00000000-0010-0000-0800-00000B000000}" name="Notes"/>
    <tableColumn id="12" xr3:uid="{2A535CE4-32A7-4896-88A1-384EEC5D2F75}" name="Allocation_Review" dataDxfId="0">
      <calculatedColumnFormula>IF(D2&lt;&gt;"Inventory","CHECK SOURCE",IF(_xlfn.XLOOKUP(E2,tblInventory[Inventory_ID],tblInventory[Commitment_Review],"NOT FOUND")="REVIEW","REVIEW","OK"))</calculatedColumnFormula>
    </tableColumn>
    <tableColumn id="13" xr3:uid="{FB0441BC-7245-4D06-A244-FFC9D257D14C}" name="Validation_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TestCases" displayName="tblTestCases" ref="A1:F6">
  <autoFilter ref="A1:F6" xr:uid="{00000000-0009-0000-0100-00000A000000}"/>
  <tableColumns count="6">
    <tableColumn id="1" xr3:uid="{00000000-0010-0000-0900-000001000000}" name="Test_ID"/>
    <tableColumn id="2" xr3:uid="{00000000-0010-0000-0900-000002000000}" name="Scenario"/>
    <tableColumn id="3" xr3:uid="{00000000-0010-0000-0900-000003000000}" name="Expected_Result"/>
    <tableColumn id="4" xr3:uid="{00000000-0010-0000-0900-000004000000}" name="Actual_Result"/>
    <tableColumn id="5" xr3:uid="{00000000-0010-0000-0900-000005000000}" name="Pass_Fail"/>
    <tableColumn id="6" xr3:uid="{00000000-0010-0000-0900-000006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workbookViewId="0">
      <selection activeCell="B11" sqref="B11:F11"/>
    </sheetView>
  </sheetViews>
  <sheetFormatPr defaultRowHeight="14.5" x14ac:dyDescent="0.35"/>
  <cols>
    <col min="1" max="1" width="18.08984375" customWidth="1"/>
    <col min="2" max="2" width="31.6328125" customWidth="1"/>
    <col min="3" max="6" width="22" customWidth="1"/>
  </cols>
  <sheetData>
    <row r="1" spans="1:6" ht="51" customHeight="1" x14ac:dyDescent="0.35">
      <c r="A1" s="9" t="s">
        <v>0</v>
      </c>
      <c r="B1" s="8"/>
      <c r="C1" s="8"/>
      <c r="D1" s="8"/>
      <c r="E1" s="8"/>
      <c r="F1" s="8"/>
    </row>
    <row r="2" spans="1:6" x14ac:dyDescent="0.35">
      <c r="A2" s="1"/>
      <c r="B2" s="1"/>
      <c r="C2" s="1"/>
      <c r="D2" s="1"/>
      <c r="E2" s="1"/>
      <c r="F2" s="1"/>
    </row>
    <row r="3" spans="1:6" ht="15.5" x14ac:dyDescent="0.35">
      <c r="A3" s="2" t="s">
        <v>1</v>
      </c>
      <c r="B3" s="1"/>
      <c r="C3" s="1"/>
      <c r="D3" s="1"/>
      <c r="E3" s="1"/>
      <c r="F3" s="1"/>
    </row>
    <row r="4" spans="1:6" ht="28" customHeight="1" x14ac:dyDescent="0.35">
      <c r="A4" s="8" t="s">
        <v>2</v>
      </c>
      <c r="B4" s="8"/>
      <c r="C4" s="8"/>
      <c r="D4" s="8"/>
      <c r="E4" s="8"/>
      <c r="F4" s="8"/>
    </row>
    <row r="5" spans="1:6" ht="28" customHeight="1" x14ac:dyDescent="0.35">
      <c r="A5" s="1"/>
      <c r="B5" s="1"/>
      <c r="C5" s="1"/>
      <c r="D5" s="1"/>
      <c r="E5" s="1"/>
      <c r="F5" s="1"/>
    </row>
    <row r="6" spans="1:6" ht="28" customHeight="1" x14ac:dyDescent="0.35">
      <c r="A6" s="2" t="s">
        <v>3</v>
      </c>
      <c r="B6" s="1"/>
      <c r="C6" s="1"/>
      <c r="D6" s="1"/>
      <c r="E6" s="1"/>
      <c r="F6" s="1"/>
    </row>
    <row r="7" spans="1:6" ht="28" customHeight="1" x14ac:dyDescent="0.35">
      <c r="A7" s="3" t="s">
        <v>4</v>
      </c>
      <c r="B7" s="8" t="s">
        <v>5</v>
      </c>
      <c r="C7" s="8"/>
      <c r="D7" s="8"/>
      <c r="E7" s="8"/>
      <c r="F7" s="8"/>
    </row>
    <row r="8" spans="1:6" ht="28" customHeight="1" x14ac:dyDescent="0.35">
      <c r="A8" s="3" t="s">
        <v>6</v>
      </c>
      <c r="B8" s="8" t="s">
        <v>7</v>
      </c>
      <c r="C8" s="8"/>
      <c r="D8" s="8"/>
      <c r="E8" s="8"/>
      <c r="F8" s="8"/>
    </row>
    <row r="9" spans="1:6" ht="28" customHeight="1" x14ac:dyDescent="0.35">
      <c r="A9" s="3" t="s">
        <v>8</v>
      </c>
      <c r="B9" s="8" t="s">
        <v>9</v>
      </c>
      <c r="C9" s="8"/>
      <c r="D9" s="8"/>
      <c r="E9" s="8"/>
      <c r="F9" s="8"/>
    </row>
    <row r="10" spans="1:6" ht="28" customHeight="1" x14ac:dyDescent="0.35">
      <c r="A10" s="3" t="s">
        <v>10</v>
      </c>
      <c r="B10" s="8" t="s">
        <v>11</v>
      </c>
      <c r="C10" s="8"/>
      <c r="D10" s="8"/>
      <c r="E10" s="8"/>
      <c r="F10" s="8"/>
    </row>
    <row r="11" spans="1:6" ht="28" customHeight="1" x14ac:dyDescent="0.35">
      <c r="A11" s="3" t="s">
        <v>12</v>
      </c>
      <c r="B11" s="8" t="s">
        <v>13</v>
      </c>
      <c r="C11" s="8"/>
      <c r="D11" s="8"/>
      <c r="E11" s="8"/>
      <c r="F11" s="8"/>
    </row>
    <row r="12" spans="1:6" ht="28" customHeight="1" x14ac:dyDescent="0.35">
      <c r="A12" s="3" t="s">
        <v>14</v>
      </c>
      <c r="B12" s="8" t="s">
        <v>15</v>
      </c>
      <c r="C12" s="8"/>
      <c r="D12" s="8"/>
      <c r="E12" s="8"/>
      <c r="F12" s="8"/>
    </row>
    <row r="13" spans="1:6" ht="28" customHeight="1" x14ac:dyDescent="0.35">
      <c r="A13" s="3" t="s">
        <v>16</v>
      </c>
      <c r="B13" s="8" t="s">
        <v>17</v>
      </c>
      <c r="C13" s="8"/>
      <c r="D13" s="8"/>
      <c r="E13" s="8"/>
      <c r="F13" s="8"/>
    </row>
    <row r="14" spans="1:6" ht="28" customHeight="1" x14ac:dyDescent="0.35">
      <c r="A14" s="1"/>
      <c r="B14" s="1"/>
      <c r="C14" s="1"/>
      <c r="D14" s="1"/>
      <c r="E14" s="1"/>
      <c r="F14" s="1"/>
    </row>
    <row r="15" spans="1:6" ht="28" customHeight="1" x14ac:dyDescent="0.35">
      <c r="A15" s="1"/>
      <c r="B15" s="1"/>
      <c r="C15" s="1"/>
      <c r="D15" s="1"/>
      <c r="E15" s="1"/>
      <c r="F15" s="1"/>
    </row>
    <row r="16" spans="1:6" ht="28" customHeight="1" x14ac:dyDescent="0.35">
      <c r="A16" s="2" t="s">
        <v>18</v>
      </c>
      <c r="B16" s="1"/>
      <c r="C16" s="1"/>
      <c r="D16" s="1"/>
      <c r="E16" s="1"/>
      <c r="F16" s="1"/>
    </row>
    <row r="17" spans="1:6" ht="28" customHeight="1" x14ac:dyDescent="0.35">
      <c r="A17" s="1" t="s">
        <v>19</v>
      </c>
      <c r="B17" s="8" t="s">
        <v>20</v>
      </c>
      <c r="C17" s="8"/>
      <c r="D17" s="8"/>
      <c r="E17" s="8"/>
      <c r="F17" s="8"/>
    </row>
    <row r="18" spans="1:6" ht="28" customHeight="1" x14ac:dyDescent="0.35">
      <c r="A18" s="1" t="s">
        <v>19</v>
      </c>
      <c r="B18" s="8" t="s">
        <v>21</v>
      </c>
      <c r="C18" s="8"/>
      <c r="D18" s="8"/>
      <c r="E18" s="8"/>
      <c r="F18" s="8"/>
    </row>
    <row r="19" spans="1:6" ht="28" customHeight="1" x14ac:dyDescent="0.35">
      <c r="A19" s="1" t="s">
        <v>19</v>
      </c>
      <c r="B19" s="8" t="s">
        <v>22</v>
      </c>
      <c r="C19" s="8"/>
      <c r="D19" s="8"/>
      <c r="E19" s="8"/>
      <c r="F19" s="8"/>
    </row>
    <row r="20" spans="1:6" ht="28" customHeight="1" x14ac:dyDescent="0.35">
      <c r="A20" s="1" t="s">
        <v>19</v>
      </c>
      <c r="B20" s="8" t="s">
        <v>23</v>
      </c>
      <c r="C20" s="8"/>
      <c r="D20" s="8"/>
      <c r="E20" s="8"/>
      <c r="F20" s="8"/>
    </row>
    <row r="21" spans="1:6" ht="28" customHeight="1" x14ac:dyDescent="0.35">
      <c r="A21" s="1" t="s">
        <v>19</v>
      </c>
      <c r="B21" s="8" t="s">
        <v>24</v>
      </c>
      <c r="C21" s="8"/>
      <c r="D21" s="8"/>
      <c r="E21" s="8"/>
      <c r="F21" s="8"/>
    </row>
    <row r="22" spans="1:6" ht="28" customHeight="1" x14ac:dyDescent="0.35">
      <c r="A22" s="1" t="s">
        <v>19</v>
      </c>
      <c r="B22" s="8" t="s">
        <v>25</v>
      </c>
      <c r="C22" s="8"/>
      <c r="D22" s="8"/>
      <c r="E22" s="8"/>
      <c r="F22" s="8"/>
    </row>
  </sheetData>
  <autoFilter ref="A1:F22" xr:uid="{00000000-0009-0000-0000-000000000000}"/>
  <mergeCells count="15">
    <mergeCell ref="B22:F22"/>
    <mergeCell ref="B17:F17"/>
    <mergeCell ref="B9:F9"/>
    <mergeCell ref="B13:F13"/>
    <mergeCell ref="A1:F1"/>
    <mergeCell ref="B11:F11"/>
    <mergeCell ref="B18:F18"/>
    <mergeCell ref="B19:F19"/>
    <mergeCell ref="A4:F4"/>
    <mergeCell ref="B8:F8"/>
    <mergeCell ref="B21:F21"/>
    <mergeCell ref="B12:F12"/>
    <mergeCell ref="B7:F7"/>
    <mergeCell ref="B20:F20"/>
    <mergeCell ref="B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"/>
  <sheetViews>
    <sheetView showGridLines="0" topLeftCell="F1" workbookViewId="0">
      <pane ySplit="1" topLeftCell="A2" activePane="bottomLeft" state="frozen"/>
      <selection pane="bottomLeft" activeCell="M1" sqref="M1:M7"/>
    </sheetView>
  </sheetViews>
  <sheetFormatPr defaultRowHeight="14.5" x14ac:dyDescent="0.35"/>
  <cols>
    <col min="1" max="2" width="12" customWidth="1"/>
    <col min="3" max="3" width="13" customWidth="1"/>
    <col min="4" max="4" width="14" customWidth="1"/>
    <col min="5" max="5" width="12" customWidth="1"/>
    <col min="6" max="6" width="15" customWidth="1"/>
    <col min="7" max="7" width="22" customWidth="1"/>
    <col min="8" max="10" width="12" customWidth="1"/>
    <col min="11" max="11" width="20.7265625" customWidth="1"/>
    <col min="12" max="12" width="21.1796875" customWidth="1"/>
    <col min="13" max="13" width="27.36328125" customWidth="1"/>
    <col min="14" max="14" width="20.54296875" customWidth="1"/>
    <col min="15" max="15" width="26.1796875" customWidth="1"/>
    <col min="16" max="16" width="18.36328125" customWidth="1"/>
  </cols>
  <sheetData>
    <row r="1" spans="1:16" ht="30" customHeight="1" x14ac:dyDescent="0.35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222</v>
      </c>
      <c r="L1" s="4" t="s">
        <v>223</v>
      </c>
      <c r="M1" s="4" t="s">
        <v>224</v>
      </c>
      <c r="N1" s="4" t="s">
        <v>225</v>
      </c>
      <c r="O1" s="4" t="s">
        <v>236</v>
      </c>
      <c r="P1" s="4" t="s">
        <v>237</v>
      </c>
    </row>
    <row r="2" spans="1:16" hidden="1" x14ac:dyDescent="0.35">
      <c r="A2" s="5" t="s">
        <v>36</v>
      </c>
      <c r="B2" s="5" t="s">
        <v>37</v>
      </c>
      <c r="C2" s="5" t="s">
        <v>38</v>
      </c>
      <c r="D2" s="5" t="s">
        <v>39</v>
      </c>
      <c r="E2" s="6">
        <v>46305</v>
      </c>
      <c r="F2" s="6">
        <v>46309</v>
      </c>
      <c r="G2" s="5" t="s">
        <v>40</v>
      </c>
      <c r="H2" s="5" t="s">
        <v>41</v>
      </c>
      <c r="I2" s="5">
        <v>40</v>
      </c>
      <c r="J2" s="5">
        <v>1</v>
      </c>
      <c r="K2" s="5" t="str">
        <f t="shared" ref="K2:K7" si="0">IF(AND(C2="Sales Order",D2="Confirmed"),"Eligible","Exclude")</f>
        <v>Eligible</v>
      </c>
      <c r="L2" s="5">
        <f>SUMIFS(Reservations!$G:$G,Reservations!$B:$B,A2,Reservations!$H:$H,"Confirmed")</f>
        <v>10</v>
      </c>
      <c r="M2" s="5">
        <f t="shared" ref="M2:M7" si="1">IF(K2="Eligible",MAX(0,I2-L2),0)</f>
        <v>30</v>
      </c>
      <c r="N2" s="11">
        <f>SUMIFS(tblInventory[Allocatable_Qty],tblInventory[Item_ID],H2)</f>
        <v>60</v>
      </c>
      <c r="O2" s="11">
        <f>SUMIFS(Allocation_Proposals!$F:$F,Allocation_Proposals!$A:$A,A2)</f>
        <v>30</v>
      </c>
      <c r="P2" s="11">
        <f t="shared" ref="P2:P7" si="2">IF(K2="Eligible",MAX(0,M2-O2),0)</f>
        <v>0</v>
      </c>
    </row>
    <row r="3" spans="1:16" hidden="1" x14ac:dyDescent="0.35">
      <c r="A3" s="1" t="s">
        <v>42</v>
      </c>
      <c r="B3" s="1" t="s">
        <v>43</v>
      </c>
      <c r="C3" s="1" t="s">
        <v>38</v>
      </c>
      <c r="D3" s="1" t="s">
        <v>39</v>
      </c>
      <c r="E3" s="7">
        <v>46305</v>
      </c>
      <c r="F3" s="7">
        <v>46311</v>
      </c>
      <c r="G3" s="1" t="s">
        <v>44</v>
      </c>
      <c r="H3" s="1" t="s">
        <v>41</v>
      </c>
      <c r="I3" s="1">
        <v>25</v>
      </c>
      <c r="J3" s="1">
        <v>2</v>
      </c>
      <c r="K3" s="1" t="str">
        <f t="shared" si="0"/>
        <v>Eligible</v>
      </c>
      <c r="L3" s="1">
        <f>SUMIFS(Reservations!$G:$G,Reservations!$B:$B,A3,Reservations!$H:$H,"Confirmed")</f>
        <v>0</v>
      </c>
      <c r="M3" s="1">
        <f t="shared" si="1"/>
        <v>25</v>
      </c>
      <c r="N3" s="12">
        <f>SUMIFS(tblInventory[Allocatable_Qty],tblInventory[Item_ID],H3)</f>
        <v>60</v>
      </c>
      <c r="O3" s="12">
        <f>SUMIFS(Allocation_Proposals!$F:$F,Allocation_Proposals!$A:$A,A3)</f>
        <v>25</v>
      </c>
      <c r="P3" s="12">
        <f t="shared" si="2"/>
        <v>0</v>
      </c>
    </row>
    <row r="4" spans="1:16" hidden="1" x14ac:dyDescent="0.35">
      <c r="A4" s="5" t="s">
        <v>45</v>
      </c>
      <c r="B4" s="5" t="s">
        <v>46</v>
      </c>
      <c r="C4" s="5" t="s">
        <v>47</v>
      </c>
      <c r="D4" s="5" t="s">
        <v>48</v>
      </c>
      <c r="E4" s="6">
        <v>46305</v>
      </c>
      <c r="F4" s="6">
        <v>46308</v>
      </c>
      <c r="G4" s="5" t="s">
        <v>49</v>
      </c>
      <c r="H4" s="5" t="s">
        <v>50</v>
      </c>
      <c r="I4" s="5">
        <v>15</v>
      </c>
      <c r="J4" s="5">
        <v>3</v>
      </c>
      <c r="K4" s="5" t="str">
        <f t="shared" si="0"/>
        <v>Exclude</v>
      </c>
      <c r="L4" s="5">
        <f>SUMIFS(Reservations!$G:$G,Reservations!$B:$B,A4,Reservations!$H:$H,"Confirmed")</f>
        <v>0</v>
      </c>
      <c r="M4" s="5">
        <f t="shared" si="1"/>
        <v>0</v>
      </c>
      <c r="N4" s="11">
        <f>SUMIFS(tblInventory[Allocatable_Qty],tblInventory[Item_ID],H4)</f>
        <v>40</v>
      </c>
      <c r="O4" s="11">
        <f>SUMIFS(Allocation_Proposals!$F:$F,Allocation_Proposals!$A:$A,A4)</f>
        <v>0</v>
      </c>
      <c r="P4" s="11">
        <f t="shared" si="2"/>
        <v>0</v>
      </c>
    </row>
    <row r="5" spans="1:16" x14ac:dyDescent="0.35">
      <c r="A5" s="1" t="s">
        <v>51</v>
      </c>
      <c r="B5" s="1" t="s">
        <v>52</v>
      </c>
      <c r="C5" s="1" t="s">
        <v>38</v>
      </c>
      <c r="D5" s="1" t="s">
        <v>39</v>
      </c>
      <c r="E5" s="7">
        <v>46305</v>
      </c>
      <c r="F5" s="7">
        <v>46313</v>
      </c>
      <c r="G5" s="1" t="s">
        <v>49</v>
      </c>
      <c r="H5" s="1" t="s">
        <v>50</v>
      </c>
      <c r="I5" s="1">
        <v>30</v>
      </c>
      <c r="J5" s="1">
        <v>2</v>
      </c>
      <c r="K5" s="1" t="str">
        <f t="shared" si="0"/>
        <v>Eligible</v>
      </c>
      <c r="L5" s="1">
        <f>SUMIFS(Reservations!$G:$G,Reservations!$B:$B,A5,Reservations!$H:$H,"Confirmed")</f>
        <v>0</v>
      </c>
      <c r="M5" s="1">
        <f t="shared" si="1"/>
        <v>30</v>
      </c>
      <c r="N5" s="12">
        <f>SUMIFS(tblInventory[Allocatable_Qty],tblInventory[Item_ID],H5)</f>
        <v>40</v>
      </c>
      <c r="O5" s="12">
        <f>SUMIFS(Allocation_Proposals!$F:$F,Allocation_Proposals!$A:$A,A5)</f>
        <v>30</v>
      </c>
      <c r="P5" s="12">
        <f t="shared" si="2"/>
        <v>0</v>
      </c>
    </row>
    <row r="6" spans="1:16" x14ac:dyDescent="0.35">
      <c r="A6" s="5" t="s">
        <v>53</v>
      </c>
      <c r="B6" s="5" t="s">
        <v>54</v>
      </c>
      <c r="C6" s="5" t="s">
        <v>38</v>
      </c>
      <c r="D6" s="5" t="s">
        <v>39</v>
      </c>
      <c r="E6" s="6">
        <v>46305</v>
      </c>
      <c r="F6" s="6">
        <v>46310</v>
      </c>
      <c r="G6" s="5" t="s">
        <v>40</v>
      </c>
      <c r="H6" s="5" t="s">
        <v>55</v>
      </c>
      <c r="I6" s="5">
        <v>20</v>
      </c>
      <c r="J6" s="5">
        <v>1</v>
      </c>
      <c r="K6" s="5" t="str">
        <f t="shared" si="0"/>
        <v>Eligible</v>
      </c>
      <c r="L6" s="5">
        <f>SUMIFS(Reservations!$G:$G,Reservations!$B:$B,A6,Reservations!$H:$H,"Confirmed")</f>
        <v>0</v>
      </c>
      <c r="M6" s="5">
        <f t="shared" si="1"/>
        <v>20</v>
      </c>
      <c r="N6" s="11">
        <f>SUMIFS(tblInventory[Allocatable_Qty],tblInventory[Item_ID],H6)</f>
        <v>18</v>
      </c>
      <c r="O6" s="11">
        <f>SUMIFS(Allocation_Proposals!$F:$F,Allocation_Proposals!$A:$A,A6)</f>
        <v>18</v>
      </c>
      <c r="P6" s="11">
        <f t="shared" si="2"/>
        <v>2</v>
      </c>
    </row>
    <row r="7" spans="1:16" x14ac:dyDescent="0.35">
      <c r="A7" s="1" t="s">
        <v>56</v>
      </c>
      <c r="B7" s="1" t="s">
        <v>57</v>
      </c>
      <c r="C7" s="1" t="s">
        <v>38</v>
      </c>
      <c r="D7" s="1" t="s">
        <v>39</v>
      </c>
      <c r="E7" s="7">
        <v>46305</v>
      </c>
      <c r="F7" s="7">
        <v>46315</v>
      </c>
      <c r="G7" s="1" t="s">
        <v>58</v>
      </c>
      <c r="H7" s="1" t="s">
        <v>41</v>
      </c>
      <c r="I7" s="1">
        <v>35</v>
      </c>
      <c r="J7" s="1">
        <v>3</v>
      </c>
      <c r="K7" s="1" t="str">
        <f t="shared" si="0"/>
        <v>Eligible</v>
      </c>
      <c r="L7" s="1">
        <f>SUMIFS(Reservations!$G:$G,Reservations!$B:$B,A7,Reservations!$H:$H,"Confirmed")</f>
        <v>0</v>
      </c>
      <c r="M7" s="1">
        <f t="shared" si="1"/>
        <v>35</v>
      </c>
      <c r="N7" s="12">
        <f>SUMIFS(tblInventory[Allocatable_Qty],tblInventory[Item_ID],H7)</f>
        <v>60</v>
      </c>
      <c r="O7" s="12">
        <f>SUMIFS(Allocation_Proposals!$F:$F,Allocation_Proposals!$A:$A,A7)</f>
        <v>5</v>
      </c>
      <c r="P7" s="12">
        <f t="shared" si="2"/>
        <v>30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"/>
  <sheetViews>
    <sheetView showGridLines="0" workbookViewId="0">
      <pane ySplit="1" topLeftCell="A2" activePane="bottomLeft" state="frozen"/>
      <selection pane="bottomLeft" activeCell="L2" sqref="L2"/>
    </sheetView>
  </sheetViews>
  <sheetFormatPr defaultRowHeight="14.5" x14ac:dyDescent="0.35"/>
  <cols>
    <col min="1" max="1" width="14" customWidth="1"/>
    <col min="2" max="2" width="13" customWidth="1"/>
    <col min="3" max="4" width="12" customWidth="1"/>
    <col min="5" max="5" width="15" customWidth="1"/>
    <col min="6" max="6" width="19" customWidth="1"/>
    <col min="7" max="7" width="24" customWidth="1"/>
    <col min="8" max="8" width="21" customWidth="1"/>
    <col min="9" max="9" width="15.7265625" customWidth="1"/>
    <col min="10" max="10" width="16.54296875" customWidth="1"/>
  </cols>
  <sheetData>
    <row r="1" spans="1:13" ht="30" customHeight="1" x14ac:dyDescent="0.35">
      <c r="A1" s="4" t="s">
        <v>59</v>
      </c>
      <c r="B1" s="4" t="s">
        <v>60</v>
      </c>
      <c r="C1" s="4" t="s">
        <v>33</v>
      </c>
      <c r="D1" s="4" t="s">
        <v>61</v>
      </c>
      <c r="E1" s="4" t="s">
        <v>62</v>
      </c>
      <c r="F1" s="4" t="s">
        <v>63</v>
      </c>
      <c r="G1" s="4" t="s">
        <v>64</v>
      </c>
      <c r="H1" s="4" t="s">
        <v>65</v>
      </c>
      <c r="I1" s="4" t="s">
        <v>220</v>
      </c>
      <c r="J1" s="4" t="s">
        <v>221</v>
      </c>
      <c r="K1" s="4" t="s">
        <v>50</v>
      </c>
      <c r="L1" s="4" t="s">
        <v>41</v>
      </c>
      <c r="M1" s="4" t="s">
        <v>55</v>
      </c>
    </row>
    <row r="2" spans="1:13" x14ac:dyDescent="0.35">
      <c r="A2" s="5" t="s">
        <v>66</v>
      </c>
      <c r="B2" s="5" t="s">
        <v>40</v>
      </c>
      <c r="C2" s="5" t="s">
        <v>41</v>
      </c>
      <c r="D2" s="5">
        <v>55</v>
      </c>
      <c r="E2" s="5">
        <v>10</v>
      </c>
      <c r="F2" s="5">
        <v>5</v>
      </c>
      <c r="G2" s="5">
        <f>SUMIFS(Reservations!$G:$G,Reservations!$D:$D,tblInventory[[#This Row],[Inventory_ID]],Reservations!$C:$C,"Inventory",Reservations!$H:$H,"Confirmed")</f>
        <v>10</v>
      </c>
      <c r="H2" s="5">
        <f>MAX(0,tblInventory[[#This Row],[On_Hand]]-tblInventory[[#This Row],[Committed_Qty]]-tblInventory[[#This Row],[Protected_Min_Qty]]-tblInventory[[#This Row],[Active_Reservation_Qty]])</f>
        <v>30</v>
      </c>
      <c r="I2" t="str">
        <f>IF(AND(tblInventory[[#This Row],[Committed_Qty]]&gt;0,tblInventory[[#This Row],[Active_Reservation_Qty]]&gt;0),"REVIEW","OK")</f>
        <v>REVIEW</v>
      </c>
      <c r="J2">
        <f>IF(tblInventory[[#This Row],[Commitment_Review]]="REVIEW",0,tblInventory[[#This Row],[ATP_Qty]])</f>
        <v>0</v>
      </c>
      <c r="K2">
        <f>SUMIFS(tblInventory[Allocatable_Qty],tblInventory[Item_ID],"SKU-B")</f>
        <v>40</v>
      </c>
      <c r="L2">
        <f>SUMIFS(tblInventory[Allocatable_Qty],tblInventory[Item_ID],"SKU-A")</f>
        <v>60</v>
      </c>
      <c r="M2">
        <f>SUMIFS(tblInventory[Allocatable_Qty],tblInventory[Item_ID],"SKU-C")</f>
        <v>18</v>
      </c>
    </row>
    <row r="3" spans="1:13" x14ac:dyDescent="0.35">
      <c r="A3" s="1" t="s">
        <v>67</v>
      </c>
      <c r="B3" s="1" t="s">
        <v>44</v>
      </c>
      <c r="C3" s="1" t="s">
        <v>41</v>
      </c>
      <c r="D3" s="1">
        <v>50</v>
      </c>
      <c r="E3" s="1">
        <v>5</v>
      </c>
      <c r="F3" s="1">
        <v>15</v>
      </c>
      <c r="G3" s="5">
        <f>SUMIFS(Reservations!$G:$G,Reservations!$D:$D,tblInventory[[#This Row],[Inventory_ID]],Reservations!$C:$C,"Inventory",Reservations!$H:$H,"Confirmed")</f>
        <v>0</v>
      </c>
      <c r="H3" s="5">
        <f>MAX(0,tblInventory[[#This Row],[On_Hand]]-tblInventory[[#This Row],[Committed_Qty]]-tblInventory[[#This Row],[Protected_Min_Qty]]-tblInventory[[#This Row],[Active_Reservation_Qty]])</f>
        <v>30</v>
      </c>
      <c r="I3" t="str">
        <f>IF(AND(tblInventory[[#This Row],[Committed_Qty]]&gt;0,tblInventory[[#This Row],[Active_Reservation_Qty]]&gt;0),"REVIEW","OK")</f>
        <v>OK</v>
      </c>
      <c r="J3">
        <f>IF(tblInventory[[#This Row],[Commitment_Review]]="REVIEW",0,tblInventory[[#This Row],[ATP_Qty]])</f>
        <v>30</v>
      </c>
      <c r="K3">
        <f>SUMIFS(tblInventory[Allocatable_Qty],tblInventory[Item_ID],"SKU-B")</f>
        <v>40</v>
      </c>
      <c r="L3">
        <f>SUMIFS(tblInventory[Allocatable_Qty],tblInventory[Item_ID],"SKU-A")</f>
        <v>60</v>
      </c>
      <c r="M3">
        <f>SUMIFS(tblInventory[Allocatable_Qty],tblInventory[Item_ID],"SKU-C")</f>
        <v>18</v>
      </c>
    </row>
    <row r="4" spans="1:13" x14ac:dyDescent="0.35">
      <c r="A4" s="5" t="s">
        <v>68</v>
      </c>
      <c r="B4" s="5" t="s">
        <v>69</v>
      </c>
      <c r="C4" s="5" t="s">
        <v>41</v>
      </c>
      <c r="D4" s="5">
        <v>35</v>
      </c>
      <c r="E4" s="5">
        <v>5</v>
      </c>
      <c r="F4" s="5">
        <v>0</v>
      </c>
      <c r="G4" s="5">
        <f>SUMIFS(Reservations!$G:$G,Reservations!$D:$D,tblInventory[[#This Row],[Inventory_ID]],Reservations!$C:$C,"Inventory",Reservations!$H:$H,"Confirmed")</f>
        <v>0</v>
      </c>
      <c r="H4" s="5">
        <f>MAX(0,tblInventory[[#This Row],[On_Hand]]-tblInventory[[#This Row],[Committed_Qty]]-tblInventory[[#This Row],[Protected_Min_Qty]]-tblInventory[[#This Row],[Active_Reservation_Qty]])</f>
        <v>30</v>
      </c>
      <c r="I4" t="str">
        <f>IF(AND(tblInventory[[#This Row],[Committed_Qty]]&gt;0,tblInventory[[#This Row],[Active_Reservation_Qty]]&gt;0),"REVIEW","OK")</f>
        <v>OK</v>
      </c>
      <c r="J4">
        <f>IF(tblInventory[[#This Row],[Commitment_Review]]="REVIEW",0,tblInventory[[#This Row],[ATP_Qty]])</f>
        <v>30</v>
      </c>
      <c r="K4">
        <f>SUMIFS(tblInventory[Allocatable_Qty],tblInventory[Item_ID],"SKU-B")</f>
        <v>40</v>
      </c>
      <c r="L4">
        <f>SUMIFS(tblInventory[Allocatable_Qty],tblInventory[Item_ID],"SKU-A")</f>
        <v>60</v>
      </c>
      <c r="M4">
        <f>SUMIFS(tblInventory[Allocatable_Qty],tblInventory[Item_ID],"SKU-C")</f>
        <v>18</v>
      </c>
    </row>
    <row r="5" spans="1:13" x14ac:dyDescent="0.35">
      <c r="A5" s="1" t="s">
        <v>70</v>
      </c>
      <c r="B5" s="1" t="s">
        <v>49</v>
      </c>
      <c r="C5" s="1" t="s">
        <v>50</v>
      </c>
      <c r="D5" s="1">
        <v>25</v>
      </c>
      <c r="E5" s="1">
        <v>5</v>
      </c>
      <c r="F5" s="1">
        <v>5</v>
      </c>
      <c r="G5" s="5">
        <f>SUMIFS(Reservations!$G:$G,Reservations!$D:$D,tblInventory[[#This Row],[Inventory_ID]],Reservations!$C:$C,"Inventory",Reservations!$H:$H,"Confirmed")</f>
        <v>0</v>
      </c>
      <c r="H5" s="5">
        <f>MAX(0,tblInventory[[#This Row],[On_Hand]]-tblInventory[[#This Row],[Committed_Qty]]-tblInventory[[#This Row],[Protected_Min_Qty]]-tblInventory[[#This Row],[Active_Reservation_Qty]])</f>
        <v>15</v>
      </c>
      <c r="I5" t="str">
        <f>IF(AND(tblInventory[[#This Row],[Committed_Qty]]&gt;0,tblInventory[[#This Row],[Active_Reservation_Qty]]&gt;0),"REVIEW","OK")</f>
        <v>OK</v>
      </c>
      <c r="J5">
        <f>IF(tblInventory[[#This Row],[Commitment_Review]]="REVIEW",0,tblInventory[[#This Row],[ATP_Qty]])</f>
        <v>15</v>
      </c>
      <c r="K5">
        <f>SUMIFS(tblInventory[Allocatable_Qty],tblInventory[Item_ID],"SKU-B")</f>
        <v>40</v>
      </c>
      <c r="L5">
        <f>SUMIFS(tblInventory[Allocatable_Qty],tblInventory[Item_ID],"SKU-A")</f>
        <v>60</v>
      </c>
      <c r="M5">
        <f>SUMIFS(tblInventory[Allocatable_Qty],tblInventory[Item_ID],"SKU-C")</f>
        <v>18</v>
      </c>
    </row>
    <row r="6" spans="1:13" x14ac:dyDescent="0.35">
      <c r="A6" s="5" t="s">
        <v>71</v>
      </c>
      <c r="B6" s="5" t="s">
        <v>58</v>
      </c>
      <c r="C6" s="5" t="s">
        <v>50</v>
      </c>
      <c r="D6" s="5">
        <v>10</v>
      </c>
      <c r="E6" s="5">
        <v>0</v>
      </c>
      <c r="F6" s="5">
        <v>5</v>
      </c>
      <c r="G6" s="5">
        <f>SUMIFS(Reservations!$G:$G,Reservations!$D:$D,tblInventory[[#This Row],[Inventory_ID]],Reservations!$C:$C,"Inventory",Reservations!$H:$H,"Confirmed")</f>
        <v>0</v>
      </c>
      <c r="H6" s="5">
        <f>MAX(0,tblInventory[[#This Row],[On_Hand]]-tblInventory[[#This Row],[Committed_Qty]]-tblInventory[[#This Row],[Protected_Min_Qty]]-tblInventory[[#This Row],[Active_Reservation_Qty]])</f>
        <v>5</v>
      </c>
      <c r="I6" t="str">
        <f>IF(AND(tblInventory[[#This Row],[Committed_Qty]]&gt;0,tblInventory[[#This Row],[Active_Reservation_Qty]]&gt;0),"REVIEW","OK")</f>
        <v>OK</v>
      </c>
      <c r="J6">
        <f>IF(tblInventory[[#This Row],[Commitment_Review]]="REVIEW",0,tblInventory[[#This Row],[ATP_Qty]])</f>
        <v>5</v>
      </c>
      <c r="K6">
        <f>SUMIFS(tblInventory[Allocatable_Qty],tblInventory[Item_ID],"SKU-B")</f>
        <v>40</v>
      </c>
      <c r="L6">
        <f>SUMIFS(tblInventory[Allocatable_Qty],tblInventory[Item_ID],"SKU-A")</f>
        <v>60</v>
      </c>
      <c r="M6">
        <f>SUMIFS(tblInventory[Allocatable_Qty],tblInventory[Item_ID],"SKU-C")</f>
        <v>18</v>
      </c>
    </row>
    <row r="7" spans="1:13" x14ac:dyDescent="0.35">
      <c r="A7" s="1" t="s">
        <v>72</v>
      </c>
      <c r="B7" s="1" t="s">
        <v>69</v>
      </c>
      <c r="C7" s="1" t="s">
        <v>50</v>
      </c>
      <c r="D7" s="1">
        <v>20</v>
      </c>
      <c r="E7" s="1">
        <v>0</v>
      </c>
      <c r="F7" s="1">
        <v>0</v>
      </c>
      <c r="G7" s="5">
        <f>SUMIFS(Reservations!$G:$G,Reservations!$D:$D,tblInventory[[#This Row],[Inventory_ID]],Reservations!$C:$C,"Inventory",Reservations!$H:$H,"Confirmed")</f>
        <v>0</v>
      </c>
      <c r="H7" s="5">
        <f>MAX(0,tblInventory[[#This Row],[On_Hand]]-tblInventory[[#This Row],[Committed_Qty]]-tblInventory[[#This Row],[Protected_Min_Qty]]-tblInventory[[#This Row],[Active_Reservation_Qty]])</f>
        <v>20</v>
      </c>
      <c r="I7" t="str">
        <f>IF(AND(tblInventory[[#This Row],[Committed_Qty]]&gt;0,tblInventory[[#This Row],[Active_Reservation_Qty]]&gt;0),"REVIEW","OK")</f>
        <v>OK</v>
      </c>
      <c r="J7">
        <f>IF(tblInventory[[#This Row],[Commitment_Review]]="REVIEW",0,tblInventory[[#This Row],[ATP_Qty]])</f>
        <v>20</v>
      </c>
      <c r="K7">
        <f>SUMIFS(tblInventory[Allocatable_Qty],tblInventory[Item_ID],"SKU-B")</f>
        <v>40</v>
      </c>
      <c r="L7">
        <f>SUMIFS(tblInventory[Allocatable_Qty],tblInventory[Item_ID],"SKU-A")</f>
        <v>60</v>
      </c>
      <c r="M7">
        <f>SUMIFS(tblInventory[Allocatable_Qty],tblInventory[Item_ID],"SKU-C")</f>
        <v>18</v>
      </c>
    </row>
    <row r="8" spans="1:13" x14ac:dyDescent="0.35">
      <c r="A8" s="5" t="s">
        <v>73</v>
      </c>
      <c r="B8" s="5" t="s">
        <v>40</v>
      </c>
      <c r="C8" s="5" t="s">
        <v>55</v>
      </c>
      <c r="D8" s="5">
        <v>8</v>
      </c>
      <c r="E8" s="5">
        <v>0</v>
      </c>
      <c r="F8" s="5">
        <v>2</v>
      </c>
      <c r="G8" s="5">
        <f>SUMIFS(Reservations!$G:$G,Reservations!$D:$D,tblInventory[[#This Row],[Inventory_ID]],Reservations!$C:$C,"Inventory",Reservations!$H:$H,"Confirmed")</f>
        <v>0</v>
      </c>
      <c r="H8" s="5">
        <f>MAX(0,tblInventory[[#This Row],[On_Hand]]-tblInventory[[#This Row],[Committed_Qty]]-tblInventory[[#This Row],[Protected_Min_Qty]]-tblInventory[[#This Row],[Active_Reservation_Qty]])</f>
        <v>6</v>
      </c>
      <c r="I8" t="str">
        <f>IF(AND(tblInventory[[#This Row],[Committed_Qty]]&gt;0,tblInventory[[#This Row],[Active_Reservation_Qty]]&gt;0),"REVIEW","OK")</f>
        <v>OK</v>
      </c>
      <c r="J8">
        <f>IF(tblInventory[[#This Row],[Commitment_Review]]="REVIEW",0,tblInventory[[#This Row],[ATP_Qty]])</f>
        <v>6</v>
      </c>
      <c r="K8">
        <f>SUMIFS(tblInventory[Allocatable_Qty],tblInventory[Item_ID],"SKU-B")</f>
        <v>40</v>
      </c>
      <c r="L8">
        <f>SUMIFS(tblInventory[Allocatable_Qty],tblInventory[Item_ID],"SKU-A")</f>
        <v>60</v>
      </c>
      <c r="M8">
        <f>SUMIFS(tblInventory[Allocatable_Qty],tblInventory[Item_ID],"SKU-C")</f>
        <v>18</v>
      </c>
    </row>
    <row r="9" spans="1:13" x14ac:dyDescent="0.35">
      <c r="A9" s="1" t="s">
        <v>74</v>
      </c>
      <c r="B9" s="1" t="s">
        <v>69</v>
      </c>
      <c r="C9" s="1" t="s">
        <v>55</v>
      </c>
      <c r="D9" s="1">
        <v>12</v>
      </c>
      <c r="E9" s="1">
        <v>0</v>
      </c>
      <c r="F9" s="1">
        <v>0</v>
      </c>
      <c r="G9" s="5">
        <f>SUMIFS(Reservations!$G:$G,Reservations!$D:$D,tblInventory[[#This Row],[Inventory_ID]],Reservations!$C:$C,"Inventory",Reservations!$H:$H,"Confirmed")</f>
        <v>0</v>
      </c>
      <c r="H9" s="5">
        <f>MAX(0,tblInventory[[#This Row],[On_Hand]]-tblInventory[[#This Row],[Committed_Qty]]-tblInventory[[#This Row],[Protected_Min_Qty]]-tblInventory[[#This Row],[Active_Reservation_Qty]])</f>
        <v>12</v>
      </c>
      <c r="I9" t="str">
        <f>IF(AND(tblInventory[[#This Row],[Committed_Qty]]&gt;0,tblInventory[[#This Row],[Active_Reservation_Qty]]&gt;0),"REVIEW","OK")</f>
        <v>OK</v>
      </c>
      <c r="J9">
        <f>IF(tblInventory[[#This Row],[Commitment_Review]]="REVIEW",0,tblInventory[[#This Row],[ATP_Qty]])</f>
        <v>12</v>
      </c>
      <c r="K9">
        <f>SUMIFS(tblInventory[Allocatable_Qty],tblInventory[Item_ID],"SKU-B")</f>
        <v>40</v>
      </c>
      <c r="L9">
        <f>SUMIFS(tblInventory[Allocatable_Qty],tblInventory[Item_ID],"SKU-A")</f>
        <v>60</v>
      </c>
      <c r="M9">
        <f>SUMIFS(tblInventory[Allocatable_Qty],tblInventory[Item_ID],"SKU-C")</f>
        <v>18</v>
      </c>
    </row>
  </sheetData>
  <phoneticPr fontId="6" type="noConversion"/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29" customWidth="1"/>
    <col min="3" max="3" width="12" customWidth="1"/>
    <col min="4" max="4" width="15" customWidth="1"/>
    <col min="5" max="6" width="12" customWidth="1"/>
    <col min="7" max="7" width="24" customWidth="1"/>
    <col min="8" max="8" width="22" customWidth="1"/>
  </cols>
  <sheetData>
    <row r="1" spans="1:8" ht="30" customHeight="1" x14ac:dyDescent="0.35">
      <c r="A1" s="4" t="s">
        <v>60</v>
      </c>
      <c r="B1" s="4" t="s">
        <v>75</v>
      </c>
      <c r="C1" s="4" t="s">
        <v>76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81</v>
      </c>
    </row>
    <row r="2" spans="1:8" x14ac:dyDescent="0.35">
      <c r="A2" s="5" t="s">
        <v>40</v>
      </c>
      <c r="B2" s="5" t="s">
        <v>82</v>
      </c>
      <c r="C2" s="5" t="s">
        <v>83</v>
      </c>
      <c r="D2" s="5" t="s">
        <v>84</v>
      </c>
      <c r="E2" s="5">
        <v>40.712800000000001</v>
      </c>
      <c r="F2" s="5">
        <v>-74.006</v>
      </c>
      <c r="G2" s="5">
        <v>0.08</v>
      </c>
      <c r="H2" s="5">
        <v>1</v>
      </c>
    </row>
    <row r="3" spans="1:8" x14ac:dyDescent="0.35">
      <c r="A3" s="1" t="s">
        <v>44</v>
      </c>
      <c r="B3" s="1" t="s">
        <v>85</v>
      </c>
      <c r="C3" s="1" t="s">
        <v>86</v>
      </c>
      <c r="D3" s="1" t="s">
        <v>84</v>
      </c>
      <c r="E3" s="1">
        <v>41.878100000000003</v>
      </c>
      <c r="F3" s="1">
        <v>-87.629800000000003</v>
      </c>
      <c r="G3" s="1">
        <v>0.08</v>
      </c>
      <c r="H3" s="1">
        <v>2</v>
      </c>
    </row>
    <row r="4" spans="1:8" x14ac:dyDescent="0.35">
      <c r="A4" s="5" t="s">
        <v>49</v>
      </c>
      <c r="B4" s="5" t="s">
        <v>87</v>
      </c>
      <c r="C4" s="5" t="s">
        <v>88</v>
      </c>
      <c r="D4" s="5" t="s">
        <v>84</v>
      </c>
      <c r="E4" s="5">
        <v>34.052199999999999</v>
      </c>
      <c r="F4" s="5">
        <v>-118.2437</v>
      </c>
      <c r="G4" s="5">
        <v>0.08</v>
      </c>
      <c r="H4" s="5">
        <v>3</v>
      </c>
    </row>
    <row r="5" spans="1:8" x14ac:dyDescent="0.35">
      <c r="A5" s="1" t="s">
        <v>58</v>
      </c>
      <c r="B5" s="1" t="s">
        <v>89</v>
      </c>
      <c r="C5" s="1" t="s">
        <v>90</v>
      </c>
      <c r="D5" s="1" t="s">
        <v>84</v>
      </c>
      <c r="E5" s="1">
        <v>29.760400000000001</v>
      </c>
      <c r="F5" s="1">
        <v>-95.369799999999998</v>
      </c>
      <c r="G5" s="1">
        <v>0.08</v>
      </c>
      <c r="H5" s="1">
        <v>2</v>
      </c>
    </row>
    <row r="6" spans="1:8" x14ac:dyDescent="0.35">
      <c r="A6" s="5" t="s">
        <v>69</v>
      </c>
      <c r="B6" s="5" t="s">
        <v>91</v>
      </c>
      <c r="C6" s="5" t="s">
        <v>92</v>
      </c>
      <c r="D6" s="5" t="s">
        <v>93</v>
      </c>
      <c r="E6" s="5">
        <v>39.739199999999997</v>
      </c>
      <c r="F6" s="5">
        <v>-104.9903</v>
      </c>
      <c r="G6" s="5">
        <v>0.06</v>
      </c>
      <c r="H6" s="5">
        <v>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"/>
  <sheetViews>
    <sheetView showGridLines="0" topLeftCell="F1" zoomScaleNormal="100" workbookViewId="0">
      <pane ySplit="1" topLeftCell="A2" activePane="bottomLeft" state="frozen"/>
      <selection pane="bottomLeft" activeCell="K2" sqref="K2"/>
    </sheetView>
  </sheetViews>
  <sheetFormatPr defaultRowHeight="14.5" x14ac:dyDescent="0.35"/>
  <cols>
    <col min="1" max="1" width="13" customWidth="1"/>
    <col min="2" max="2" width="23" customWidth="1"/>
    <col min="3" max="3" width="15" customWidth="1"/>
    <col min="4" max="4" width="22" customWidth="1"/>
    <col min="5" max="5" width="14" customWidth="1"/>
    <col min="6" max="6" width="20" customWidth="1"/>
    <col min="7" max="7" width="21" customWidth="1"/>
    <col min="8" max="8" width="15" customWidth="1"/>
    <col min="9" max="9" width="24" customWidth="1"/>
    <col min="10" max="10" width="32" customWidth="1"/>
    <col min="11" max="11" width="16.08984375" customWidth="1"/>
  </cols>
  <sheetData>
    <row r="1" spans="1:11" ht="30" customHeight="1" x14ac:dyDescent="0.35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" t="s">
        <v>103</v>
      </c>
      <c r="K1" s="4" t="s">
        <v>239</v>
      </c>
    </row>
    <row r="2" spans="1:11" ht="29" x14ac:dyDescent="0.35">
      <c r="A2" s="5" t="s">
        <v>104</v>
      </c>
      <c r="B2" s="5" t="s">
        <v>105</v>
      </c>
      <c r="C2" s="5" t="s">
        <v>106</v>
      </c>
      <c r="D2" s="5">
        <v>5</v>
      </c>
      <c r="E2" s="5" t="s">
        <v>107</v>
      </c>
      <c r="F2" s="5">
        <v>6</v>
      </c>
      <c r="G2" s="5">
        <v>2</v>
      </c>
      <c r="H2" s="5">
        <v>2</v>
      </c>
      <c r="I2" s="5">
        <v>1800</v>
      </c>
      <c r="J2" s="5" t="s">
        <v>108</v>
      </c>
      <c r="K2" s="5">
        <f t="shared" ref="K2:K4" si="0">SUM(D2,F2:H2)</f>
        <v>15</v>
      </c>
    </row>
    <row r="3" spans="1:11" ht="29" x14ac:dyDescent="0.35">
      <c r="A3" s="1" t="s">
        <v>109</v>
      </c>
      <c r="B3" s="1" t="s">
        <v>110</v>
      </c>
      <c r="C3" s="1" t="s">
        <v>111</v>
      </c>
      <c r="D3" s="1">
        <v>7</v>
      </c>
      <c r="E3" s="1" t="s">
        <v>112</v>
      </c>
      <c r="F3" s="1">
        <v>24</v>
      </c>
      <c r="G3" s="1">
        <v>4</v>
      </c>
      <c r="H3" s="1">
        <v>2</v>
      </c>
      <c r="I3" s="1">
        <v>950</v>
      </c>
      <c r="J3" s="1" t="s">
        <v>108</v>
      </c>
      <c r="K3" s="1">
        <f t="shared" si="0"/>
        <v>37</v>
      </c>
    </row>
    <row r="4" spans="1:11" ht="29" x14ac:dyDescent="0.35">
      <c r="A4" s="5" t="s">
        <v>113</v>
      </c>
      <c r="B4" s="5" t="s">
        <v>114</v>
      </c>
      <c r="C4" s="5" t="s">
        <v>115</v>
      </c>
      <c r="D4" s="5">
        <v>3</v>
      </c>
      <c r="E4" s="5" t="s">
        <v>116</v>
      </c>
      <c r="F4" s="5">
        <v>3</v>
      </c>
      <c r="G4" s="5">
        <v>1</v>
      </c>
      <c r="H4" s="5">
        <v>1</v>
      </c>
      <c r="I4" s="5">
        <v>600</v>
      </c>
      <c r="J4" s="5" t="s">
        <v>108</v>
      </c>
      <c r="K4" s="5">
        <f t="shared" si="0"/>
        <v>8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DA9BC-24A9-4718-9C40-EF949E3AF7BD}">
  <dimension ref="A1:K10"/>
  <sheetViews>
    <sheetView tabSelected="1" topLeftCell="D1" workbookViewId="0">
      <selection activeCell="K2" sqref="K2:K10"/>
    </sheetView>
  </sheetViews>
  <sheetFormatPr defaultRowHeight="14.5" x14ac:dyDescent="0.35"/>
  <cols>
    <col min="1" max="1" width="11.08984375" customWidth="1"/>
    <col min="2" max="2" width="9.26953125" customWidth="1"/>
    <col min="3" max="3" width="13.90625" customWidth="1"/>
    <col min="4" max="4" width="14.7265625" customWidth="1"/>
    <col min="5" max="5" width="11.81640625" customWidth="1"/>
    <col min="6" max="6" width="16.1796875" customWidth="1"/>
    <col min="7" max="7" width="18.26953125" customWidth="1"/>
    <col min="8" max="8" width="21.08984375" customWidth="1"/>
    <col min="9" max="9" width="15.1796875" customWidth="1"/>
    <col min="10" max="10" width="31" customWidth="1"/>
    <col min="11" max="11" width="21.36328125" customWidth="1"/>
  </cols>
  <sheetData>
    <row r="1" spans="1:11" x14ac:dyDescent="0.35">
      <c r="A1" s="10" t="s">
        <v>26</v>
      </c>
      <c r="B1" s="10" t="s">
        <v>33</v>
      </c>
      <c r="C1" s="10" t="s">
        <v>240</v>
      </c>
      <c r="D1" s="10" t="s">
        <v>31</v>
      </c>
      <c r="E1" s="10" t="s">
        <v>94</v>
      </c>
      <c r="F1" s="10" t="s">
        <v>239</v>
      </c>
      <c r="G1" s="10" t="s">
        <v>241</v>
      </c>
      <c r="H1" s="10" t="s">
        <v>123</v>
      </c>
      <c r="I1" s="10" t="s">
        <v>242</v>
      </c>
      <c r="J1" s="10" t="s">
        <v>243</v>
      </c>
      <c r="K1" s="10" t="s">
        <v>244</v>
      </c>
    </row>
    <row r="2" spans="1:11" x14ac:dyDescent="0.35">
      <c r="A2" t="s">
        <v>42</v>
      </c>
      <c r="B2" t="s">
        <v>41</v>
      </c>
      <c r="C2">
        <f>_xlfn.XLOOKUP(A2,SalesOrders!$A$2:$A$100,SalesOrders!$P$2:$P$100,0)</f>
        <v>0</v>
      </c>
      <c r="D2" s="17">
        <f>_xlfn.XLOOKUP(A2,SalesOrders!$A$2:$A$100,SalesOrders!$F$2:$F$100,"Not Found")</f>
        <v>46311</v>
      </c>
      <c r="E2" t="s">
        <v>104</v>
      </c>
      <c r="F2">
        <f>_xlfn.XLOOKUP(E2,Suppliers!$A$2:$A$4,Suppliers!$K$2:$K$4,"Not Found")</f>
        <v>15</v>
      </c>
      <c r="G2" s="17">
        <v>46305</v>
      </c>
      <c r="H2" s="17">
        <f>G2+F2</f>
        <v>46320</v>
      </c>
      <c r="I2" t="str">
        <f>IF(OR(NOT(ISNUMBER(H2)),NOT(ISNUMBER(D2))),"CHECK DATES",IF(H2&lt;=D2,"ON TIME","LATE"))</f>
        <v>LATE</v>
      </c>
      <c r="J2" t="str">
        <f>IF(C2=0,"NO PURCHASE NEEDED",IF(I2="ON TIME","CHECK PRODUCT AVAILABILITY",IF(F2=MIN(Suppliers!$K$2:$K$4),"FASTEST - EXPEDITE OR NEGOTIATE","NOT ON TIME")))</f>
        <v>NO PURCHASE NEEDED</v>
      </c>
      <c r="K2" t="str">
        <f>IF(C2=0,"NO ACTION REQUIRED",IF(I2="ON TIME","VERIFY SUPPLIER AND PRODUCT","INVESTIGATE EXPEDITED OPTIONS"))</f>
        <v>NO ACTION REQUIRED</v>
      </c>
    </row>
    <row r="3" spans="1:11" x14ac:dyDescent="0.35">
      <c r="A3" t="s">
        <v>42</v>
      </c>
      <c r="B3" t="s">
        <v>41</v>
      </c>
      <c r="C3">
        <f>_xlfn.XLOOKUP(A3,SalesOrders!$A$2:$A$100,SalesOrders!$P$2:$P$100,0)</f>
        <v>0</v>
      </c>
      <c r="D3" s="17">
        <f>_xlfn.XLOOKUP(A3,SalesOrders!$A$2:$A$100,SalesOrders!$F$2:$F$100,"Not Found")</f>
        <v>46311</v>
      </c>
      <c r="E3" t="s">
        <v>109</v>
      </c>
      <c r="F3">
        <f>_xlfn.XLOOKUP(E3,Suppliers!$A$2:$A$4,Suppliers!$K$2:$K$4,"Not Found")</f>
        <v>37</v>
      </c>
      <c r="G3" s="17">
        <v>46305</v>
      </c>
      <c r="H3" s="17">
        <f t="shared" ref="H3:H4" si="0">G3+F3</f>
        <v>46342</v>
      </c>
      <c r="I3" t="str">
        <f t="shared" ref="I3:I4" si="1">IF(OR(NOT(ISNUMBER(H3)),NOT(ISNUMBER(D3))),"CHECK DATES",IF(H3&lt;=D3,"ON TIME","LATE"))</f>
        <v>LATE</v>
      </c>
      <c r="J3" t="str">
        <f>IF(C3=0,"NO PURCHASE NEEDED",IF(I3="ON TIME","CHECK PRODUCT AVAILABILITY",IF(F3=MIN(Suppliers!$K$2:$K$4),"FASTEST - EXPEDITE OR NEGOTIATE","NOT ON TIME")))</f>
        <v>NO PURCHASE NEEDED</v>
      </c>
      <c r="K3" t="str">
        <f t="shared" ref="K3:K10" si="2">IF(C3=0,"NO ACTION REQUIRED",IF(I3="ON TIME","VERIFY SUPPLIER AND PRODUCT","INVESTIGATE EXPEDITED OPTIONS"))</f>
        <v>NO ACTION REQUIRED</v>
      </c>
    </row>
    <row r="4" spans="1:11" x14ac:dyDescent="0.35">
      <c r="A4" t="s">
        <v>42</v>
      </c>
      <c r="B4" t="s">
        <v>41</v>
      </c>
      <c r="C4">
        <f>_xlfn.XLOOKUP(A4,SalesOrders!$A$2:$A$100,SalesOrders!$P$2:$P$100,0)</f>
        <v>0</v>
      </c>
      <c r="D4" s="17">
        <f>_xlfn.XLOOKUP(A4,SalesOrders!$A$2:$A$100,SalesOrders!$F$2:$F$100,"Not Found")</f>
        <v>46311</v>
      </c>
      <c r="E4" t="s">
        <v>113</v>
      </c>
      <c r="F4">
        <f>_xlfn.XLOOKUP(E4,Suppliers!$A$2:$A$4,Suppliers!$K$2:$K$4,"Not Found")</f>
        <v>8</v>
      </c>
      <c r="G4" s="17">
        <v>46305</v>
      </c>
      <c r="H4" s="17">
        <f t="shared" si="0"/>
        <v>46313</v>
      </c>
      <c r="I4" t="str">
        <f t="shared" si="1"/>
        <v>LATE</v>
      </c>
      <c r="J4" t="str">
        <f>IF(C4=0,"NO PURCHASE NEEDED",IF(I4="ON TIME","CHECK PRODUCT AVAILABILITY",IF(F4=MIN(Suppliers!$K$2:$K$4),"FASTEST - EXPEDITE OR NEGOTIATE","NOT ON TIME")))</f>
        <v>NO PURCHASE NEEDED</v>
      </c>
      <c r="K4" t="str">
        <f t="shared" si="2"/>
        <v>NO ACTION REQUIRED</v>
      </c>
    </row>
    <row r="5" spans="1:11" x14ac:dyDescent="0.35">
      <c r="A5" t="s">
        <v>53</v>
      </c>
      <c r="B5" t="s">
        <v>55</v>
      </c>
      <c r="C5">
        <f>_xlfn.XLOOKUP(A5,SalesOrders!$A$2:$A$100,SalesOrders!$P$2:$P$100,0)</f>
        <v>2</v>
      </c>
      <c r="D5" s="17">
        <f>_xlfn.XLOOKUP(A5,SalesOrders!$A$2:$A$100,SalesOrders!$F$2:$F$100,"Not Found")</f>
        <v>46310</v>
      </c>
      <c r="E5" t="s">
        <v>104</v>
      </c>
      <c r="F5">
        <f>_xlfn.XLOOKUP(E5,Suppliers!$A$2:$A$4,Suppliers!$K$2:$K$4,"Not Found")</f>
        <v>15</v>
      </c>
      <c r="G5" s="17">
        <v>46305</v>
      </c>
      <c r="H5" s="17">
        <f t="shared" ref="H5:H10" si="3">G5+F5</f>
        <v>46320</v>
      </c>
      <c r="I5" t="str">
        <f t="shared" ref="I5:I10" si="4">IF(OR(NOT(ISNUMBER(H5)),NOT(ISNUMBER(D5))),"CHECK DATES",IF(H5&lt;=D5,"ON TIME","LATE"))</f>
        <v>LATE</v>
      </c>
      <c r="J5" t="str">
        <f>IF(C5=0,"NO PURCHASE NEEDED",IF(I5="ON TIME","CHECK PRODUCT AVAILABILITY",IF(F5=MIN(Suppliers!$K$2:$K$4),"FASTEST - EXPEDITE OR NEGOTIATE","NOT ON TIME")))</f>
        <v>NOT ON TIME</v>
      </c>
      <c r="K5" t="str">
        <f t="shared" si="2"/>
        <v>INVESTIGATE EXPEDITED OPTIONS</v>
      </c>
    </row>
    <row r="6" spans="1:11" x14ac:dyDescent="0.35">
      <c r="A6" t="s">
        <v>53</v>
      </c>
      <c r="B6" t="s">
        <v>55</v>
      </c>
      <c r="C6">
        <f>_xlfn.XLOOKUP(A6,SalesOrders!$A$2:$A$100,SalesOrders!$P$2:$P$100,0)</f>
        <v>2</v>
      </c>
      <c r="D6" s="17">
        <f>_xlfn.XLOOKUP(A6,SalesOrders!$A$2:$A$100,SalesOrders!$F$2:$F$100,"Not Found")</f>
        <v>46310</v>
      </c>
      <c r="E6" t="s">
        <v>109</v>
      </c>
      <c r="F6">
        <f>_xlfn.XLOOKUP(E6,Suppliers!$A$2:$A$4,Suppliers!$K$2:$K$4,"Not Found")</f>
        <v>37</v>
      </c>
      <c r="G6" s="17">
        <v>46305</v>
      </c>
      <c r="H6" s="17">
        <f t="shared" si="3"/>
        <v>46342</v>
      </c>
      <c r="I6" t="str">
        <f t="shared" si="4"/>
        <v>LATE</v>
      </c>
      <c r="J6" t="str">
        <f>IF(C6=0,"NO PURCHASE NEEDED",IF(I6="ON TIME","CHECK PRODUCT AVAILABILITY",IF(F6=MIN(Suppliers!$K$2:$K$4),"FASTEST - EXPEDITE OR NEGOTIATE","NOT ON TIME")))</f>
        <v>NOT ON TIME</v>
      </c>
      <c r="K6" t="str">
        <f t="shared" si="2"/>
        <v>INVESTIGATE EXPEDITED OPTIONS</v>
      </c>
    </row>
    <row r="7" spans="1:11" x14ac:dyDescent="0.35">
      <c r="A7" t="s">
        <v>53</v>
      </c>
      <c r="B7" t="s">
        <v>55</v>
      </c>
      <c r="C7">
        <f>_xlfn.XLOOKUP(A7,SalesOrders!$A$2:$A$100,SalesOrders!$P$2:$P$100,0)</f>
        <v>2</v>
      </c>
      <c r="D7" s="17">
        <f>_xlfn.XLOOKUP(A7,SalesOrders!$A$2:$A$100,SalesOrders!$F$2:$F$100,"Not Found")</f>
        <v>46310</v>
      </c>
      <c r="E7" t="s">
        <v>113</v>
      </c>
      <c r="F7">
        <f>_xlfn.XLOOKUP(E7,Suppliers!$A$2:$A$4,Suppliers!$K$2:$K$4,"Not Found")</f>
        <v>8</v>
      </c>
      <c r="G7" s="17">
        <v>46305</v>
      </c>
      <c r="H7" s="17">
        <f t="shared" si="3"/>
        <v>46313</v>
      </c>
      <c r="I7" t="str">
        <f t="shared" si="4"/>
        <v>LATE</v>
      </c>
      <c r="J7" t="str">
        <f>IF(C7=0,"NO PURCHASE NEEDED",IF(I7="ON TIME","CHECK PRODUCT AVAILABILITY",IF(F7=MIN(Suppliers!$K$2:$K$4),"FASTEST - EXPEDITE OR NEGOTIATE","NOT ON TIME")))</f>
        <v>FASTEST - EXPEDITE OR NEGOTIATE</v>
      </c>
      <c r="K7" t="str">
        <f t="shared" si="2"/>
        <v>INVESTIGATE EXPEDITED OPTIONS</v>
      </c>
    </row>
    <row r="8" spans="1:11" x14ac:dyDescent="0.35">
      <c r="A8" t="s">
        <v>56</v>
      </c>
      <c r="B8" t="s">
        <v>41</v>
      </c>
      <c r="C8">
        <f>_xlfn.XLOOKUP(A8,SalesOrders!$A$2:$A$100,SalesOrders!$P$2:$P$100,0)</f>
        <v>30</v>
      </c>
      <c r="D8" s="17">
        <f>_xlfn.XLOOKUP(A8,SalesOrders!$A$2:$A$100,SalesOrders!$F$2:$F$100,"Not Found")</f>
        <v>46315</v>
      </c>
      <c r="E8" t="s">
        <v>104</v>
      </c>
      <c r="F8">
        <f>_xlfn.XLOOKUP(E8,Suppliers!$A$2:$A$4,Suppliers!$K$2:$K$4,"Not Found")</f>
        <v>15</v>
      </c>
      <c r="G8" s="17">
        <v>46305</v>
      </c>
      <c r="H8" s="17">
        <f>G8+F8</f>
        <v>46320</v>
      </c>
      <c r="I8" t="str">
        <f t="shared" si="4"/>
        <v>LATE</v>
      </c>
      <c r="J8" t="str">
        <f>IF(C8=0,"NO PURCHASE NEEDED",IF(I8="ON TIME","CHECK PRODUCT AVAILABILITY",IF(F8=MIN(Suppliers!$K$2:$K$4),"FASTEST - EXPEDITE OR NEGOTIATE","NOT ON TIME")))</f>
        <v>NOT ON TIME</v>
      </c>
      <c r="K8" t="str">
        <f t="shared" si="2"/>
        <v>INVESTIGATE EXPEDITED OPTIONS</v>
      </c>
    </row>
    <row r="9" spans="1:11" x14ac:dyDescent="0.35">
      <c r="A9" t="s">
        <v>56</v>
      </c>
      <c r="B9" t="s">
        <v>41</v>
      </c>
      <c r="C9">
        <f>_xlfn.XLOOKUP(A9,SalesOrders!$A$2:$A$100,SalesOrders!$P$2:$P$100,0)</f>
        <v>30</v>
      </c>
      <c r="D9" s="17">
        <f>_xlfn.XLOOKUP(A9,SalesOrders!$A$2:$A$100,SalesOrders!$F$2:$F$100,"Not Found")</f>
        <v>46315</v>
      </c>
      <c r="E9" t="s">
        <v>109</v>
      </c>
      <c r="F9">
        <f>_xlfn.XLOOKUP(E9,Suppliers!$A$2:$A$4,Suppliers!$K$2:$K$4,"Not Found")</f>
        <v>37</v>
      </c>
      <c r="G9" s="17">
        <v>46305</v>
      </c>
      <c r="H9" s="17">
        <f t="shared" si="3"/>
        <v>46342</v>
      </c>
      <c r="I9" t="str">
        <f t="shared" si="4"/>
        <v>LATE</v>
      </c>
      <c r="J9" t="str">
        <f>IF(C9=0,"NO PURCHASE NEEDED",IF(I9="ON TIME","CHECK PRODUCT AVAILABILITY",IF(F9=MIN(Suppliers!$K$2:$K$4),"FASTEST - EXPEDITE OR NEGOTIATE","NOT ON TIME")))</f>
        <v>NOT ON TIME</v>
      </c>
      <c r="K9" t="str">
        <f t="shared" si="2"/>
        <v>INVESTIGATE EXPEDITED OPTIONS</v>
      </c>
    </row>
    <row r="10" spans="1:11" x14ac:dyDescent="0.35">
      <c r="A10" t="s">
        <v>56</v>
      </c>
      <c r="B10" t="s">
        <v>41</v>
      </c>
      <c r="C10">
        <f>_xlfn.XLOOKUP(A10,SalesOrders!$A$2:$A$100,SalesOrders!$P$2:$P$100,0)</f>
        <v>30</v>
      </c>
      <c r="D10" s="17">
        <f>_xlfn.XLOOKUP(A10,SalesOrders!$A$2:$A$100,SalesOrders!$F$2:$F$100,"Not Found")</f>
        <v>46315</v>
      </c>
      <c r="E10" t="s">
        <v>113</v>
      </c>
      <c r="F10">
        <f>_xlfn.XLOOKUP(E10,Suppliers!$A$2:$A$4,Suppliers!$K$2:$K$4,"Not Found")</f>
        <v>8</v>
      </c>
      <c r="G10" s="17">
        <v>46305</v>
      </c>
      <c r="H10" s="17">
        <f t="shared" si="3"/>
        <v>46313</v>
      </c>
      <c r="I10" t="str">
        <f t="shared" si="4"/>
        <v>ON TIME</v>
      </c>
      <c r="J10" t="str">
        <f>IF(C10=0,"NO PURCHASE NEEDED",IF(I10="ON TIME","CHECK PRODUCT AVAILABILITY",IF(F10=MIN(Suppliers!$K$2:$K$4),"FASTEST - EXPEDITE OR NEGOTIATE","NOT ON TIME")))</f>
        <v>CHECK PRODUCT AVAILABILITY</v>
      </c>
      <c r="K10" t="str">
        <f t="shared" si="2"/>
        <v>VERIFY SUPPLIER AND PRODUCT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"/>
  <sheetViews>
    <sheetView showGridLines="0" zoomScale="89" zoomScaleNormal="89"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2" customWidth="1"/>
    <col min="3" max="3" width="13" customWidth="1"/>
    <col min="4" max="4" width="12" customWidth="1"/>
    <col min="5" max="5" width="13" customWidth="1"/>
    <col min="6" max="6" width="14" customWidth="1"/>
    <col min="7" max="7" width="20.453125" customWidth="1"/>
    <col min="8" max="8" width="20" customWidth="1"/>
    <col min="9" max="9" width="23" customWidth="1"/>
    <col min="10" max="10" width="22" customWidth="1"/>
    <col min="11" max="11" width="19" customWidth="1"/>
  </cols>
  <sheetData>
    <row r="1" spans="1:11" ht="30" customHeight="1" x14ac:dyDescent="0.35">
      <c r="A1" s="4" t="s">
        <v>117</v>
      </c>
      <c r="B1" s="4" t="s">
        <v>118</v>
      </c>
      <c r="C1" s="4" t="s">
        <v>94</v>
      </c>
      <c r="D1" s="4" t="s">
        <v>33</v>
      </c>
      <c r="E1" s="4" t="s">
        <v>119</v>
      </c>
      <c r="F1" s="4" t="s">
        <v>120</v>
      </c>
      <c r="G1" s="4" t="s">
        <v>121</v>
      </c>
      <c r="H1" s="4" t="s">
        <v>122</v>
      </c>
      <c r="I1" s="4" t="s">
        <v>123</v>
      </c>
      <c r="J1" s="4" t="s">
        <v>32</v>
      </c>
      <c r="K1" s="4" t="s">
        <v>124</v>
      </c>
    </row>
    <row r="2" spans="1:11" x14ac:dyDescent="0.35">
      <c r="A2" s="5" t="s">
        <v>125</v>
      </c>
      <c r="B2" s="5" t="s">
        <v>126</v>
      </c>
      <c r="C2" s="5" t="s">
        <v>104</v>
      </c>
      <c r="D2" s="5" t="s">
        <v>41</v>
      </c>
      <c r="E2" s="5">
        <v>50</v>
      </c>
      <c r="F2" s="5">
        <v>0</v>
      </c>
      <c r="G2" s="5">
        <v>20</v>
      </c>
      <c r="H2" s="5">
        <f>MAX(0,E2-F2-G2)</f>
        <v>30</v>
      </c>
      <c r="I2" s="6">
        <v>46318</v>
      </c>
      <c r="J2" s="5" t="s">
        <v>69</v>
      </c>
      <c r="K2" s="5" t="s">
        <v>127</v>
      </c>
    </row>
    <row r="3" spans="1:11" x14ac:dyDescent="0.35">
      <c r="A3" s="1" t="s">
        <v>128</v>
      </c>
      <c r="B3" s="1" t="s">
        <v>129</v>
      </c>
      <c r="C3" s="1" t="s">
        <v>109</v>
      </c>
      <c r="D3" s="1" t="s">
        <v>50</v>
      </c>
      <c r="E3" s="1">
        <v>40</v>
      </c>
      <c r="F3" s="1">
        <v>0</v>
      </c>
      <c r="G3" s="1">
        <v>0</v>
      </c>
      <c r="H3" s="1">
        <f>MAX(0,E3-F3-G3)</f>
        <v>40</v>
      </c>
      <c r="I3" s="7">
        <v>46342</v>
      </c>
      <c r="J3" s="1" t="s">
        <v>69</v>
      </c>
      <c r="K3" s="1" t="s">
        <v>48</v>
      </c>
    </row>
    <row r="4" spans="1:11" x14ac:dyDescent="0.35">
      <c r="A4" s="5" t="s">
        <v>130</v>
      </c>
      <c r="B4" s="5" t="s">
        <v>131</v>
      </c>
      <c r="C4" s="5" t="s">
        <v>113</v>
      </c>
      <c r="D4" s="5" t="s">
        <v>55</v>
      </c>
      <c r="E4" s="5">
        <v>25</v>
      </c>
      <c r="F4" s="5">
        <v>0</v>
      </c>
      <c r="G4" s="5">
        <v>0</v>
      </c>
      <c r="H4" s="5">
        <f>MAX(0,E4-F4-G4)</f>
        <v>25</v>
      </c>
      <c r="I4" s="6">
        <v>46313</v>
      </c>
      <c r="J4" s="5" t="s">
        <v>69</v>
      </c>
      <c r="K4" s="5" t="s">
        <v>48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14" customWidth="1"/>
    <col min="3" max="3" width="12" customWidth="1"/>
    <col min="4" max="4" width="13" customWidth="1"/>
    <col min="5" max="5" width="12" customWidth="1"/>
    <col min="6" max="6" width="13" customWidth="1"/>
    <col min="7" max="7" width="23" customWidth="1"/>
    <col min="8" max="8" width="22" customWidth="1"/>
    <col min="9" max="9" width="14" customWidth="1"/>
    <col min="10" max="10" width="15" customWidth="1"/>
  </cols>
  <sheetData>
    <row r="1" spans="1:10" ht="30" customHeight="1" x14ac:dyDescent="0.35">
      <c r="A1" s="4" t="s">
        <v>132</v>
      </c>
      <c r="B1" s="4" t="s">
        <v>133</v>
      </c>
      <c r="C1" s="4" t="s">
        <v>117</v>
      </c>
      <c r="D1" s="4" t="s">
        <v>94</v>
      </c>
      <c r="E1" s="4" t="s">
        <v>33</v>
      </c>
      <c r="F1" s="4" t="s">
        <v>134</v>
      </c>
      <c r="G1" s="4" t="s">
        <v>123</v>
      </c>
      <c r="H1" s="4" t="s">
        <v>32</v>
      </c>
      <c r="I1" s="4" t="s">
        <v>120</v>
      </c>
      <c r="J1" s="4" t="s">
        <v>135</v>
      </c>
    </row>
    <row r="2" spans="1:10" x14ac:dyDescent="0.35">
      <c r="A2" s="5" t="s">
        <v>136</v>
      </c>
      <c r="B2" s="5" t="s">
        <v>137</v>
      </c>
      <c r="C2" s="5" t="s">
        <v>125</v>
      </c>
      <c r="D2" s="5" t="s">
        <v>104</v>
      </c>
      <c r="E2" s="5" t="s">
        <v>41</v>
      </c>
      <c r="F2" s="5">
        <v>20</v>
      </c>
      <c r="G2" s="6">
        <v>46318</v>
      </c>
      <c r="H2" s="5" t="s">
        <v>69</v>
      </c>
      <c r="I2" s="5">
        <v>0</v>
      </c>
      <c r="J2" s="5">
        <f>MAX(0,F2-I2)</f>
        <v>20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371F4-2EDD-4969-8362-EB24F5583DDE}">
  <dimension ref="A1:E2"/>
  <sheetViews>
    <sheetView workbookViewId="0">
      <selection activeCell="E2" sqref="E2"/>
    </sheetView>
  </sheetViews>
  <sheetFormatPr defaultRowHeight="14.5" x14ac:dyDescent="0.35"/>
  <cols>
    <col min="1" max="1" width="12.7265625" customWidth="1"/>
    <col min="3" max="3" width="17.54296875" customWidth="1"/>
    <col min="4" max="4" width="14.6328125" customWidth="1"/>
    <col min="5" max="5" width="26.1796875" customWidth="1"/>
  </cols>
  <sheetData>
    <row r="1" spans="1:5" x14ac:dyDescent="0.35">
      <c r="A1" t="s">
        <v>26</v>
      </c>
      <c r="B1" t="s">
        <v>33</v>
      </c>
      <c r="C1" t="s">
        <v>237</v>
      </c>
      <c r="D1" t="s">
        <v>31</v>
      </c>
      <c r="E1" t="s">
        <v>238</v>
      </c>
    </row>
    <row r="2" spans="1:5" x14ac:dyDescent="0.35">
      <c r="A2" t="s">
        <v>42</v>
      </c>
      <c r="B2" t="s">
        <v>41</v>
      </c>
      <c r="C2">
        <f>_xlfn.XLOOKUP(A2,SalesOrders!$A$2:$A$100,SalesOrders!$P$2:$P$100,0)</f>
        <v>0</v>
      </c>
      <c r="D2" s="17">
        <f>_xlfn.XLOOKUP(A2,SalesOrders!$A$2:$A$100,SalesOrders!$F$2:$F$100,"Not Found")</f>
        <v>46311</v>
      </c>
      <c r="E2">
        <f>SUMIFS(OnTheWater!$J:$J,OnTheWater!$E:$E,B2,OnTheWater!$G:$G,"&lt;="&amp;D2)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28" customWidth="1"/>
    <col min="3" max="3" width="32" customWidth="1"/>
    <col min="4" max="4" width="12" customWidth="1"/>
    <col min="5" max="5" width="32" customWidth="1"/>
  </cols>
  <sheetData>
    <row r="1" spans="1:5" ht="30" customHeight="1" x14ac:dyDescent="0.35">
      <c r="A1" s="4" t="s">
        <v>138</v>
      </c>
      <c r="B1" s="4" t="s">
        <v>139</v>
      </c>
      <c r="C1" s="4" t="s">
        <v>140</v>
      </c>
      <c r="D1" s="4" t="s">
        <v>141</v>
      </c>
      <c r="E1" s="4" t="s">
        <v>142</v>
      </c>
    </row>
    <row r="2" spans="1:5" ht="43.5" x14ac:dyDescent="0.35">
      <c r="A2" s="5" t="s">
        <v>143</v>
      </c>
      <c r="B2" s="5" t="s">
        <v>144</v>
      </c>
      <c r="C2" s="5" t="s">
        <v>145</v>
      </c>
      <c r="D2" s="5" t="s">
        <v>146</v>
      </c>
      <c r="E2" s="5" t="s">
        <v>147</v>
      </c>
    </row>
    <row r="3" spans="1:5" ht="29" x14ac:dyDescent="0.35">
      <c r="A3" s="1" t="s">
        <v>148</v>
      </c>
      <c r="B3" s="1" t="s">
        <v>149</v>
      </c>
      <c r="C3" s="1">
        <v>1</v>
      </c>
      <c r="D3" s="1" t="s">
        <v>150</v>
      </c>
      <c r="E3" s="1" t="s">
        <v>151</v>
      </c>
    </row>
    <row r="4" spans="1:5" ht="29" x14ac:dyDescent="0.35">
      <c r="A4" s="5" t="s">
        <v>152</v>
      </c>
      <c r="B4" s="5" t="s">
        <v>153</v>
      </c>
      <c r="C4" s="5" t="s">
        <v>154</v>
      </c>
      <c r="D4" s="5" t="s">
        <v>155</v>
      </c>
      <c r="E4" s="5" t="s">
        <v>156</v>
      </c>
    </row>
    <row r="5" spans="1:5" ht="43.5" x14ac:dyDescent="0.35">
      <c r="A5" s="1" t="s">
        <v>157</v>
      </c>
      <c r="B5" s="1" t="s">
        <v>158</v>
      </c>
      <c r="C5" s="1" t="s">
        <v>159</v>
      </c>
      <c r="D5" s="1" t="s">
        <v>146</v>
      </c>
      <c r="E5" s="1" t="s">
        <v>160</v>
      </c>
    </row>
    <row r="6" spans="1:5" ht="43.5" x14ac:dyDescent="0.35">
      <c r="A6" s="5" t="s">
        <v>161</v>
      </c>
      <c r="B6" s="5" t="s">
        <v>162</v>
      </c>
      <c r="C6" s="5" t="s">
        <v>163</v>
      </c>
      <c r="D6" s="5" t="s">
        <v>146</v>
      </c>
      <c r="E6" s="5" t="s">
        <v>164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"/>
  <sheetViews>
    <sheetView showGridLines="0" workbookViewId="0">
      <pane ySplit="1" topLeftCell="A2" activePane="bottomLeft" state="frozen"/>
      <selection pane="bottomLeft" activeCell="H4" sqref="H4"/>
    </sheetView>
  </sheetViews>
  <sheetFormatPr defaultRowHeight="14.5" x14ac:dyDescent="0.35"/>
  <cols>
    <col min="1" max="1" width="16" customWidth="1"/>
    <col min="2" max="2" width="12" customWidth="1"/>
    <col min="3" max="3" width="20" customWidth="1"/>
    <col min="4" max="4" width="18" customWidth="1"/>
    <col min="5" max="5" width="12" customWidth="1"/>
    <col min="6" max="6" width="25" customWidth="1"/>
    <col min="7" max="7" width="14" customWidth="1"/>
    <col min="8" max="8" width="20" customWidth="1"/>
    <col min="9" max="9" width="14" customWidth="1"/>
    <col min="10" max="10" width="32" customWidth="1"/>
  </cols>
  <sheetData>
    <row r="1" spans="1:10" ht="30" customHeight="1" x14ac:dyDescent="0.35">
      <c r="A1" s="4" t="s">
        <v>165</v>
      </c>
      <c r="B1" s="4" t="s">
        <v>26</v>
      </c>
      <c r="C1" s="4" t="s">
        <v>166</v>
      </c>
      <c r="D1" s="4" t="s">
        <v>167</v>
      </c>
      <c r="E1" s="4" t="s">
        <v>33</v>
      </c>
      <c r="F1" s="4" t="s">
        <v>168</v>
      </c>
      <c r="G1" s="4" t="s">
        <v>169</v>
      </c>
      <c r="H1" s="4" t="s">
        <v>170</v>
      </c>
      <c r="I1" s="4" t="s">
        <v>171</v>
      </c>
      <c r="J1" s="4" t="s">
        <v>172</v>
      </c>
    </row>
    <row r="2" spans="1:10" ht="20.5" customHeight="1" x14ac:dyDescent="0.35">
      <c r="A2" s="5" t="s">
        <v>173</v>
      </c>
      <c r="B2" s="5" t="s">
        <v>36</v>
      </c>
      <c r="C2" s="5" t="s">
        <v>174</v>
      </c>
      <c r="D2" s="5" t="s">
        <v>66</v>
      </c>
      <c r="E2" s="5" t="s">
        <v>41</v>
      </c>
      <c r="F2" s="5" t="s">
        <v>40</v>
      </c>
      <c r="G2" s="5">
        <v>10</v>
      </c>
      <c r="H2" s="5" t="s">
        <v>39</v>
      </c>
      <c r="I2" s="6">
        <v>46305</v>
      </c>
      <c r="J2" s="5" t="s">
        <v>175</v>
      </c>
    </row>
    <row r="3" spans="1:10" ht="63.5" customHeight="1" x14ac:dyDescent="0.35">
      <c r="A3" s="5" t="s">
        <v>215</v>
      </c>
      <c r="B3" s="5" t="s">
        <v>216</v>
      </c>
      <c r="C3" s="5" t="s">
        <v>174</v>
      </c>
      <c r="D3" s="5" t="s">
        <v>66</v>
      </c>
      <c r="E3" s="5" t="s">
        <v>41</v>
      </c>
      <c r="F3" s="5" t="s">
        <v>40</v>
      </c>
      <c r="G3" s="5">
        <v>10</v>
      </c>
      <c r="H3" s="5" t="s">
        <v>219</v>
      </c>
      <c r="I3" s="6">
        <v>46306</v>
      </c>
      <c r="J3" s="5" t="s">
        <v>217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"/>
  <sheetViews>
    <sheetView showGridLines="0" topLeftCell="I1" workbookViewId="0">
      <pane ySplit="1" topLeftCell="A2" activePane="bottomLeft" state="frozen"/>
      <selection pane="bottomLeft" activeCell="N8" sqref="N8"/>
    </sheetView>
  </sheetViews>
  <sheetFormatPr defaultRowHeight="14.5" x14ac:dyDescent="0.35"/>
  <cols>
    <col min="1" max="1" width="15" customWidth="1"/>
    <col min="2" max="3" width="12" customWidth="1"/>
    <col min="4" max="4" width="20" customWidth="1"/>
    <col min="5" max="5" width="18" customWidth="1"/>
    <col min="6" max="6" width="17" customWidth="1"/>
    <col min="7" max="7" width="15" customWidth="1"/>
    <col min="8" max="8" width="23" customWidth="1"/>
    <col min="9" max="9" width="15" customWidth="1"/>
    <col min="10" max="10" width="24" customWidth="1"/>
    <col min="11" max="11" width="29.453125" customWidth="1"/>
    <col min="12" max="12" width="16.08984375" customWidth="1"/>
    <col min="13" max="13" width="38.36328125" customWidth="1"/>
  </cols>
  <sheetData>
    <row r="1" spans="1:13" ht="30" customHeight="1" x14ac:dyDescent="0.35">
      <c r="A1" s="4" t="s">
        <v>176</v>
      </c>
      <c r="B1" s="4" t="s">
        <v>26</v>
      </c>
      <c r="C1" s="4" t="s">
        <v>33</v>
      </c>
      <c r="D1" s="4" t="s">
        <v>166</v>
      </c>
      <c r="E1" s="4" t="s">
        <v>167</v>
      </c>
      <c r="F1" s="4" t="s">
        <v>177</v>
      </c>
      <c r="G1" s="4" t="s">
        <v>178</v>
      </c>
      <c r="H1" s="4" t="s">
        <v>123</v>
      </c>
      <c r="I1" s="4" t="s">
        <v>31</v>
      </c>
      <c r="J1" s="4" t="s">
        <v>179</v>
      </c>
      <c r="K1" s="4" t="s">
        <v>172</v>
      </c>
      <c r="L1" s="4" t="s">
        <v>226</v>
      </c>
      <c r="M1" s="4" t="s">
        <v>261</v>
      </c>
    </row>
    <row r="2" spans="1:13" ht="29" x14ac:dyDescent="0.35">
      <c r="A2" s="5" t="s">
        <v>180</v>
      </c>
      <c r="B2" s="5" t="s">
        <v>36</v>
      </c>
      <c r="C2" s="5" t="s">
        <v>41</v>
      </c>
      <c r="D2" s="5" t="s">
        <v>174</v>
      </c>
      <c r="E2" s="5" t="s">
        <v>66</v>
      </c>
      <c r="F2" s="5" t="s">
        <v>40</v>
      </c>
      <c r="G2" s="5">
        <v>15</v>
      </c>
      <c r="H2" s="6">
        <v>46306</v>
      </c>
      <c r="I2" s="6">
        <v>46309</v>
      </c>
      <c r="J2" s="5" t="str">
        <f>IF(H2&lt;=I2,"Yes","No")</f>
        <v>Yes</v>
      </c>
      <c r="K2" s="5" t="s">
        <v>181</v>
      </c>
      <c r="L2" s="5" t="str">
        <f>IF(D2&lt;&gt;"Inventory","CHECK SOURCE",IF(_xlfn.XLOOKUP(E2,tblInventory[Inventory_ID],tblInventory[Commitment_Review],"NOT FOUND")="REVIEW","REVIEW","OK"))</f>
        <v>REVIEW</v>
      </c>
      <c r="M2" t="s">
        <v>262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95281-C46A-4D7A-ADC3-B9E8AEFFAD75}">
  <dimension ref="A1:M10"/>
  <sheetViews>
    <sheetView topLeftCell="E1" zoomScaleNormal="100" workbookViewId="0">
      <selection activeCell="J23" sqref="J23"/>
    </sheetView>
  </sheetViews>
  <sheetFormatPr defaultRowHeight="14.5" x14ac:dyDescent="0.35"/>
  <cols>
    <col min="1" max="1" width="12.6328125" customWidth="1"/>
    <col min="2" max="2" width="13.81640625" customWidth="1"/>
    <col min="3" max="3" width="21.453125" customWidth="1"/>
    <col min="4" max="4" width="14.26953125" customWidth="1"/>
    <col min="5" max="5" width="18" customWidth="1"/>
    <col min="6" max="6" width="13.81640625" customWidth="1"/>
    <col min="7" max="7" width="25.90625" customWidth="1"/>
    <col min="8" max="8" width="15.54296875" customWidth="1"/>
    <col min="9" max="9" width="19.6328125" customWidth="1"/>
    <col min="10" max="10" width="15.08984375" customWidth="1"/>
    <col min="11" max="11" width="11.6328125" customWidth="1"/>
    <col min="12" max="12" width="23" customWidth="1"/>
  </cols>
  <sheetData>
    <row r="1" spans="1:13" x14ac:dyDescent="0.35">
      <c r="A1" s="10" t="s">
        <v>26</v>
      </c>
      <c r="B1" s="10" t="s">
        <v>33</v>
      </c>
      <c r="C1" s="10" t="s">
        <v>227</v>
      </c>
      <c r="D1" s="10" t="s">
        <v>228</v>
      </c>
      <c r="E1" s="10" t="s">
        <v>229</v>
      </c>
      <c r="F1" s="10" t="s">
        <v>230</v>
      </c>
      <c r="G1" s="10" t="s">
        <v>231</v>
      </c>
      <c r="H1" s="10" t="s">
        <v>31</v>
      </c>
      <c r="I1" s="10" t="s">
        <v>123</v>
      </c>
      <c r="J1" s="10" t="s">
        <v>232</v>
      </c>
      <c r="K1" s="10" t="s">
        <v>233</v>
      </c>
      <c r="L1" s="10" t="s">
        <v>234</v>
      </c>
      <c r="M1" s="10" t="s">
        <v>235</v>
      </c>
    </row>
    <row r="2" spans="1:13" s="13" customFormat="1" ht="15.5" customHeight="1" x14ac:dyDescent="0.35">
      <c r="A2" s="13" t="s">
        <v>36</v>
      </c>
      <c r="B2" s="13" t="s">
        <v>41</v>
      </c>
      <c r="C2" s="13" t="s">
        <v>67</v>
      </c>
      <c r="D2" s="15">
        <f>_xlfn.XLOOKUP(C2,tblInventory[Inventory_ID],tblInventory[Allocatable_Qty],0)</f>
        <v>30</v>
      </c>
      <c r="E2" s="15">
        <f>_xlfn.XLOOKUP(A2,SalesOrders!$A$2:$A$100,SalesOrders!$M$2:$M$100,0)</f>
        <v>30</v>
      </c>
      <c r="F2" s="15">
        <f>IF(OR(J2&lt;&gt;"ON TIME",M2&lt;&gt;"MATCH"),0,MIN(MAX(0,D2-L2),MAX(0,E2-SUMIFS($F$1:F1,$A$1:A1,A2))))</f>
        <v>30</v>
      </c>
      <c r="G2" s="13" t="str">
        <f>IF(F2=0,"NO STOCK",IF(J2="ON TIME","CANDIDATE - ON TIME","REVIEW DELIVERY"))</f>
        <v>CANDIDATE - ON TIME</v>
      </c>
      <c r="H2" s="13">
        <f>_xlfn.XLOOKUP(A2,SalesOrders!$A$2:$A$100,SalesOrders!$F$2:$F$100,"Not Found")</f>
        <v>46309</v>
      </c>
      <c r="I2" s="13">
        <f>_xlfn.XLOOKUP(A2,SalesOrders!$A$2:$A$100,SalesOrders!$E$2:$E$100)+K2</f>
        <v>46307</v>
      </c>
      <c r="J2" s="13" t="str">
        <f>IF(OR(H2="",I2=""),"CHECK DELIVERY TIME",IF(I2&lt;=H2,"ON TIME","LATE"))</f>
        <v>ON TIME</v>
      </c>
      <c r="K2" s="15">
        <f>_xlfn.XLOOKUP(_xlfn.XLOOKUP(C2,tblInventory[Inventory_ID],tblInventory[Location_ID]),Locations!$A$2:$A$6,Locations!$H$2:$H$6,"Not Found")</f>
        <v>2</v>
      </c>
      <c r="L2" s="15">
        <f>SUMIFS($F$1:F1,$C$1:C1,C2)</f>
        <v>0</v>
      </c>
      <c r="M2" s="13" t="str">
        <f>IF(_xlfn.XLOOKUP(C2,tblInventory[Inventory_ID],tblInventory[Item_ID],"NOT FOUND")=B2,"MATCH","MISMATCH")</f>
        <v>MATCH</v>
      </c>
    </row>
    <row r="3" spans="1:13" s="14" customFormat="1" x14ac:dyDescent="0.35">
      <c r="A3" s="13" t="s">
        <v>42</v>
      </c>
      <c r="B3" s="13" t="s">
        <v>41</v>
      </c>
      <c r="C3" s="13" t="s">
        <v>67</v>
      </c>
      <c r="D3" s="16">
        <f>_xlfn.XLOOKUP(C3,tblInventory[Inventory_ID],tblInventory[Allocatable_Qty],0)</f>
        <v>30</v>
      </c>
      <c r="E3" s="16">
        <f>_xlfn.XLOOKUP(A3,SalesOrders!$A$2:$A$100,SalesOrders!$M$2:$M$100,0)</f>
        <v>25</v>
      </c>
      <c r="F3" s="15">
        <f>IF(OR(J3&lt;&gt;"ON TIME",M3&lt;&gt;"MATCH"),0,MIN(MAX(0,D3-L3),MAX(0,E3-SUMIFS($F$1:F2,$A$1:A2,A3))))</f>
        <v>0</v>
      </c>
      <c r="G3" s="13" t="str">
        <f t="shared" ref="G3:G10" si="0">IF(F3=0,"NO STOCK",IF(J3="ON TIME","CANDIDATE - ON TIME","REVIEW DELIVERY"))</f>
        <v>NO STOCK</v>
      </c>
      <c r="H3" s="13">
        <f>_xlfn.XLOOKUP(A3,SalesOrders!$A$2:$A$100,SalesOrders!$F$2:$F$100,"Not Found")</f>
        <v>46311</v>
      </c>
      <c r="I3" s="13">
        <f>_xlfn.XLOOKUP(A3,SalesOrders!$A$2:$A$100,SalesOrders!$E$2:$E$100)+K3</f>
        <v>46307</v>
      </c>
      <c r="J3" s="13" t="str">
        <f t="shared" ref="J3:J10" si="1">IF(OR(H3="",I3=""),"CHECK DELIVERY TIME",IF(I3&lt;=H3,"ON TIME","LATE"))</f>
        <v>ON TIME</v>
      </c>
      <c r="K3" s="15">
        <f>_xlfn.XLOOKUP(_xlfn.XLOOKUP(C3,tblInventory[Inventory_ID],tblInventory[Location_ID]),Locations!$A$2:$A$6,Locations!$H$2:$H$6,"Not Found")</f>
        <v>2</v>
      </c>
      <c r="L3" s="15">
        <f>SUMIFS($F$1:F2,$C$1:C2,C3)</f>
        <v>30</v>
      </c>
      <c r="M3" s="13" t="str">
        <f>IF(_xlfn.XLOOKUP(C3,tblInventory[Inventory_ID],tblInventory[Item_ID],"NOT FOUND")=B3,"MATCH","MISMATCH")</f>
        <v>MATCH</v>
      </c>
    </row>
    <row r="4" spans="1:13" s="13" customFormat="1" ht="21" customHeight="1" x14ac:dyDescent="0.35">
      <c r="A4" s="13" t="s">
        <v>42</v>
      </c>
      <c r="B4" s="13" t="s">
        <v>41</v>
      </c>
      <c r="C4" s="13" t="s">
        <v>68</v>
      </c>
      <c r="D4" s="15">
        <f>_xlfn.XLOOKUP(C4,tblInventory[Inventory_ID],tblInventory[Allocatable_Qty],0)</f>
        <v>30</v>
      </c>
      <c r="E4" s="15">
        <f>_xlfn.XLOOKUP(A4,SalesOrders!$A$2:$A$100,SalesOrders!$M$2:$M$100,0)</f>
        <v>25</v>
      </c>
      <c r="F4" s="15">
        <f>IF(OR(J4&lt;&gt;"ON TIME",M4&lt;&gt;"MATCH"),0,MIN(MAX(0,D4-L4),MAX(0,E4-SUMIFS($F$1:F3,$A$1:A3,A4))))</f>
        <v>25</v>
      </c>
      <c r="G4" s="13" t="str">
        <f t="shared" si="0"/>
        <v>CANDIDATE - ON TIME</v>
      </c>
      <c r="H4" s="13">
        <f>_xlfn.XLOOKUP(A4,SalesOrders!$A$2:$A$100,SalesOrders!$F$2:$F$100,"Not Found")</f>
        <v>46311</v>
      </c>
      <c r="I4" s="13">
        <f>_xlfn.XLOOKUP(A4,SalesOrders!$A$2:$A$100,SalesOrders!$E$2:$E$100)+K4</f>
        <v>46307</v>
      </c>
      <c r="J4" s="13" t="str">
        <f t="shared" si="1"/>
        <v>ON TIME</v>
      </c>
      <c r="K4" s="15">
        <f>_xlfn.XLOOKUP(_xlfn.XLOOKUP(C4,tblInventory[Inventory_ID],tblInventory[Location_ID]),Locations!$A$2:$A$6,Locations!$H$2:$H$6,"Not Found")</f>
        <v>2</v>
      </c>
      <c r="L4" s="15">
        <f>SUMIFS($F$1:F3,$C$1:C3,C4)</f>
        <v>0</v>
      </c>
      <c r="M4" s="13" t="str">
        <f>IF(_xlfn.XLOOKUP(C4,tblInventory[Inventory_ID],tblInventory[Item_ID],"NOT FOUND")=B4,"MATCH","MISMATCH")</f>
        <v>MATCH</v>
      </c>
    </row>
    <row r="5" spans="1:13" s="14" customFormat="1" x14ac:dyDescent="0.35">
      <c r="A5" t="s">
        <v>51</v>
      </c>
      <c r="B5" t="s">
        <v>50</v>
      </c>
      <c r="C5" t="s">
        <v>70</v>
      </c>
      <c r="D5" s="15">
        <f>_xlfn.XLOOKUP(C5,tblInventory[Inventory_ID],tblInventory[Allocatable_Qty],0)</f>
        <v>15</v>
      </c>
      <c r="E5" s="15">
        <f>_xlfn.XLOOKUP(A5,SalesOrders!$A$2:$A$100,SalesOrders!$M$2:$M$100,0)</f>
        <v>30</v>
      </c>
      <c r="F5" s="15">
        <f>IF(OR(J5&lt;&gt;"ON TIME",M5&lt;&gt;"MATCH"),0,MIN(MAX(0,D5-L5),MAX(0,E5-SUMIFS($F$1:F4,$A$1:A4,A5))))</f>
        <v>15</v>
      </c>
      <c r="G5" s="13" t="str">
        <f t="shared" si="0"/>
        <v>CANDIDATE - ON TIME</v>
      </c>
      <c r="H5" s="13">
        <f>_xlfn.XLOOKUP(A5,SalesOrders!$A$2:$A$100,SalesOrders!$F$2:$F$100,"Not Found")</f>
        <v>46313</v>
      </c>
      <c r="I5" s="13">
        <f>_xlfn.XLOOKUP(A5,SalesOrders!$A$2:$A$100,SalesOrders!$E$2:$E$100)+K5</f>
        <v>46308</v>
      </c>
      <c r="J5" s="13" t="str">
        <f t="shared" si="1"/>
        <v>ON TIME</v>
      </c>
      <c r="K5" s="15">
        <f>_xlfn.XLOOKUP(_xlfn.XLOOKUP(C5,tblInventory[Inventory_ID],tblInventory[Location_ID]),Locations!$A$2:$A$6,Locations!$H$2:$H$6,"Not Found")</f>
        <v>3</v>
      </c>
      <c r="L5" s="15">
        <f>SUMIFS($F$1:F4,$C$1:C4,C5)</f>
        <v>0</v>
      </c>
      <c r="M5" s="13" t="str">
        <f>IF(_xlfn.XLOOKUP(C5,tblInventory[Inventory_ID],tblInventory[Item_ID],"NOT FOUND")=B5,"MATCH","MISMATCH")</f>
        <v>MATCH</v>
      </c>
    </row>
    <row r="6" spans="1:13" s="13" customFormat="1" x14ac:dyDescent="0.35">
      <c r="A6" t="s">
        <v>51</v>
      </c>
      <c r="B6" t="s">
        <v>50</v>
      </c>
      <c r="C6" t="s">
        <v>71</v>
      </c>
      <c r="D6" s="15">
        <f>_xlfn.XLOOKUP(C6,tblInventory[Inventory_ID],tblInventory[Allocatable_Qty],0)</f>
        <v>5</v>
      </c>
      <c r="E6" s="15">
        <f>_xlfn.XLOOKUP(A6,SalesOrders!$A$2:$A$100,SalesOrders!$M$2:$M$100,0)</f>
        <v>30</v>
      </c>
      <c r="F6" s="15">
        <f>IF(OR(J6&lt;&gt;"ON TIME",M6&lt;&gt;"MATCH"),0,MIN(MAX(0,D6-L6),MAX(0,E6-SUMIFS($F$1:F5,$A$1:A5,A6))))</f>
        <v>5</v>
      </c>
      <c r="G6" s="13" t="str">
        <f t="shared" si="0"/>
        <v>CANDIDATE - ON TIME</v>
      </c>
      <c r="H6" s="13">
        <f>_xlfn.XLOOKUP(A6,SalesOrders!$A$2:$A$100,SalesOrders!$F$2:$F$100,"Not Found")</f>
        <v>46313</v>
      </c>
      <c r="I6" s="13">
        <f>_xlfn.XLOOKUP(A6,SalesOrders!$A$2:$A$100,SalesOrders!$E$2:$E$100)+K6</f>
        <v>46307</v>
      </c>
      <c r="J6" s="13" t="str">
        <f t="shared" si="1"/>
        <v>ON TIME</v>
      </c>
      <c r="K6" s="15">
        <f>_xlfn.XLOOKUP(_xlfn.XLOOKUP(C6,tblInventory[Inventory_ID],tblInventory[Location_ID]),Locations!$A$2:$A$6,Locations!$H$2:$H$6,"Not Found")</f>
        <v>2</v>
      </c>
      <c r="L6" s="15">
        <f>SUMIFS($F$1:F5,$C$1:C5,C6)</f>
        <v>0</v>
      </c>
      <c r="M6" s="13" t="str">
        <f>IF(_xlfn.XLOOKUP(C6,tblInventory[Inventory_ID],tblInventory[Item_ID],"NOT FOUND")=B6,"MATCH","MISMATCH")</f>
        <v>MATCH</v>
      </c>
    </row>
    <row r="7" spans="1:13" s="14" customFormat="1" x14ac:dyDescent="0.35">
      <c r="A7" t="s">
        <v>51</v>
      </c>
      <c r="B7" t="s">
        <v>50</v>
      </c>
      <c r="C7" t="s">
        <v>72</v>
      </c>
      <c r="D7" s="15">
        <f>_xlfn.XLOOKUP(C7,tblInventory[Inventory_ID],tblInventory[Allocatable_Qty],0)</f>
        <v>20</v>
      </c>
      <c r="E7" s="15">
        <f>_xlfn.XLOOKUP(A7,SalesOrders!$A$2:$A$100,SalesOrders!$M$2:$M$100,0)</f>
        <v>30</v>
      </c>
      <c r="F7" s="15">
        <f>IF(OR(J7&lt;&gt;"ON TIME",M7&lt;&gt;"MATCH"),0,MIN(MAX(0,D7-L7),MAX(0,E7-SUMIFS($F$1:F6,$A$1:A6,A7))))</f>
        <v>10</v>
      </c>
      <c r="G7" s="13" t="str">
        <f t="shared" si="0"/>
        <v>CANDIDATE - ON TIME</v>
      </c>
      <c r="H7" s="13">
        <f>_xlfn.XLOOKUP(A7,SalesOrders!$A$2:$A$100,SalesOrders!$F$2:$F$100,"Not Found")</f>
        <v>46313</v>
      </c>
      <c r="I7" s="13">
        <f>_xlfn.XLOOKUP(A7,SalesOrders!$A$2:$A$100,SalesOrders!$E$2:$E$100)+K7</f>
        <v>46307</v>
      </c>
      <c r="J7" s="13" t="str">
        <f t="shared" si="1"/>
        <v>ON TIME</v>
      </c>
      <c r="K7" s="15">
        <f>_xlfn.XLOOKUP(_xlfn.XLOOKUP(C7,tblInventory[Inventory_ID],tblInventory[Location_ID]),Locations!$A$2:$A$6,Locations!$H$2:$H$6,"Not Found")</f>
        <v>2</v>
      </c>
      <c r="L7" s="15">
        <f>SUMIFS($F$1:F6,$C$1:C6,C7)</f>
        <v>0</v>
      </c>
      <c r="M7" s="13" t="str">
        <f>IF(_xlfn.XLOOKUP(C7,tblInventory[Inventory_ID],tblInventory[Item_ID],"NOT FOUND")=B7,"MATCH","MISMATCH")</f>
        <v>MATCH</v>
      </c>
    </row>
    <row r="8" spans="1:13" x14ac:dyDescent="0.35">
      <c r="A8" t="s">
        <v>53</v>
      </c>
      <c r="B8" t="s">
        <v>55</v>
      </c>
      <c r="C8" t="s">
        <v>73</v>
      </c>
      <c r="D8" s="15">
        <f>_xlfn.XLOOKUP(C8,tblInventory[Inventory_ID],tblInventory[Allocatable_Qty],0)</f>
        <v>6</v>
      </c>
      <c r="E8" s="15">
        <f>_xlfn.XLOOKUP(A8,SalesOrders!$A$2:$A$100,SalesOrders!$M$2:$M$100,0)</f>
        <v>20</v>
      </c>
      <c r="F8" s="15">
        <f>IF(OR(J8&lt;&gt;"ON TIME",M8&lt;&gt;"MATCH"),0,MIN(MAX(0,D8-L8),MAX(0,E8-SUMIFS($F$1:F7,$A$1:A7,A8))))</f>
        <v>6</v>
      </c>
      <c r="G8" s="13" t="str">
        <f t="shared" si="0"/>
        <v>CANDIDATE - ON TIME</v>
      </c>
      <c r="H8" s="13">
        <f>_xlfn.XLOOKUP(A8,SalesOrders!$A$2:$A$100,SalesOrders!$F$2:$F$100,"Not Found")</f>
        <v>46310</v>
      </c>
      <c r="I8" s="13">
        <f>_xlfn.XLOOKUP(A8,SalesOrders!$A$2:$A$100,SalesOrders!$E$2:$E$100)+K8</f>
        <v>46306</v>
      </c>
      <c r="J8" s="13" t="str">
        <f t="shared" si="1"/>
        <v>ON TIME</v>
      </c>
      <c r="K8" s="15">
        <f>_xlfn.XLOOKUP(_xlfn.XLOOKUP(C8,tblInventory[Inventory_ID],tblInventory[Location_ID]),Locations!$A$2:$A$6,Locations!$H$2:$H$6,"Not Found")</f>
        <v>1</v>
      </c>
      <c r="L8" s="15">
        <f>SUMIFS($F$1:F7,$C$1:C7,C8)</f>
        <v>0</v>
      </c>
      <c r="M8" s="13" t="str">
        <f>IF(_xlfn.XLOOKUP(C8,tblInventory[Inventory_ID],tblInventory[Item_ID],"NOT FOUND")=B8,"MATCH","MISMATCH")</f>
        <v>MATCH</v>
      </c>
    </row>
    <row r="9" spans="1:13" x14ac:dyDescent="0.35">
      <c r="A9" t="s">
        <v>53</v>
      </c>
      <c r="B9" t="s">
        <v>55</v>
      </c>
      <c r="C9" t="s">
        <v>74</v>
      </c>
      <c r="D9" s="15">
        <f>_xlfn.XLOOKUP(C9,tblInventory[Inventory_ID],tblInventory[Allocatable_Qty],0)</f>
        <v>12</v>
      </c>
      <c r="E9" s="15">
        <f>_xlfn.XLOOKUP(A9,SalesOrders!$A$2:$A$100,SalesOrders!$M$2:$M$100,0)</f>
        <v>20</v>
      </c>
      <c r="F9" s="15">
        <f>IF(OR(J9&lt;&gt;"ON TIME",M9&lt;&gt;"MATCH"),0,MIN(MAX(0,D9-L9),MAX(0,E9-SUMIFS($F$1:F8,$A$1:A8,A9))))</f>
        <v>12</v>
      </c>
      <c r="G9" s="13" t="str">
        <f t="shared" si="0"/>
        <v>CANDIDATE - ON TIME</v>
      </c>
      <c r="H9" s="13">
        <f>_xlfn.XLOOKUP(A9,SalesOrders!$A$2:$A$100,SalesOrders!$F$2:$F$100,"Not Found")</f>
        <v>46310</v>
      </c>
      <c r="I9" s="13">
        <f>_xlfn.XLOOKUP(A9,SalesOrders!$A$2:$A$100,SalesOrders!$E$2:$E$100)+K9</f>
        <v>46307</v>
      </c>
      <c r="J9" s="13" t="str">
        <f t="shared" si="1"/>
        <v>ON TIME</v>
      </c>
      <c r="K9" s="15">
        <f>_xlfn.XLOOKUP(_xlfn.XLOOKUP(C9,tblInventory[Inventory_ID],tblInventory[Location_ID]),Locations!$A$2:$A$6,Locations!$H$2:$H$6,"Not Found")</f>
        <v>2</v>
      </c>
      <c r="L9" s="15">
        <f>SUMIFS($F$1:F8,$C$1:C8,C9)</f>
        <v>0</v>
      </c>
      <c r="M9" s="13" t="str">
        <f>IF(_xlfn.XLOOKUP(C9,tblInventory[Inventory_ID],tblInventory[Item_ID],"NOT FOUND")=B9,"MATCH","MISMATCH")</f>
        <v>MATCH</v>
      </c>
    </row>
    <row r="10" spans="1:13" x14ac:dyDescent="0.35">
      <c r="A10" t="s">
        <v>56</v>
      </c>
      <c r="B10" t="s">
        <v>41</v>
      </c>
      <c r="C10" t="s">
        <v>68</v>
      </c>
      <c r="D10" s="15">
        <f>_xlfn.XLOOKUP(C10,tblInventory[Inventory_ID],tblInventory[Allocatable_Qty],0)</f>
        <v>30</v>
      </c>
      <c r="E10" s="15">
        <f>_xlfn.XLOOKUP(A10,SalesOrders!$A$2:$A$100,SalesOrders!$M$2:$M$100,0)</f>
        <v>35</v>
      </c>
      <c r="F10" s="15">
        <f>IF(OR(J10&lt;&gt;"ON TIME",M10&lt;&gt;"MATCH"),0,MIN(MAX(0,D10-L10),MAX(0,E10-SUMIFS($F$1:F9,$A$1:A9,A10))))</f>
        <v>5</v>
      </c>
      <c r="G10" s="13" t="str">
        <f t="shared" si="0"/>
        <v>CANDIDATE - ON TIME</v>
      </c>
      <c r="H10" s="13">
        <f>_xlfn.XLOOKUP(A10,SalesOrders!$A$2:$A$100,SalesOrders!$F$2:$F$100,"Not Found")</f>
        <v>46315</v>
      </c>
      <c r="I10" s="13">
        <f>_xlfn.XLOOKUP(A10,SalesOrders!$A$2:$A$100,SalesOrders!$E$2:$E$100)+K10</f>
        <v>46307</v>
      </c>
      <c r="J10" s="13" t="str">
        <f t="shared" si="1"/>
        <v>ON TIME</v>
      </c>
      <c r="K10" s="15">
        <f>_xlfn.XLOOKUP(_xlfn.XLOOKUP(C10,tblInventory[Inventory_ID],tblInventory[Location_ID]),Locations!$A$2:$A$6,Locations!$H$2:$H$6,"Not Found")</f>
        <v>2</v>
      </c>
      <c r="L10" s="15">
        <f>SUMIFS($F$1:F9,$C$1:C9,C10)</f>
        <v>25</v>
      </c>
      <c r="M10" s="13" t="str">
        <f>IF(_xlfn.XLOOKUP(C10,tblInventory[Inventory_ID],tblInventory[Item_ID],"NOT FOUND")=B10,"MATCH","MISMATCH")</f>
        <v>MATCH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6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2" customWidth="1"/>
    <col min="3" max="3" width="32" customWidth="1"/>
    <col min="4" max="4" width="20" customWidth="1"/>
    <col min="5" max="5" width="27" customWidth="1"/>
    <col min="6" max="6" width="32" customWidth="1"/>
  </cols>
  <sheetData>
    <row r="1" spans="1:6" ht="30" customHeight="1" x14ac:dyDescent="0.35">
      <c r="A1" s="4" t="s">
        <v>182</v>
      </c>
      <c r="B1" s="4" t="s">
        <v>183</v>
      </c>
      <c r="C1" s="4" t="s">
        <v>184</v>
      </c>
      <c r="D1" s="4" t="s">
        <v>185</v>
      </c>
      <c r="E1" s="4" t="s">
        <v>186</v>
      </c>
      <c r="F1" s="4" t="s">
        <v>172</v>
      </c>
    </row>
    <row r="2" spans="1:6" ht="29" x14ac:dyDescent="0.35">
      <c r="A2" s="5" t="s">
        <v>187</v>
      </c>
      <c r="B2" s="5" t="s">
        <v>188</v>
      </c>
      <c r="C2" s="5" t="s">
        <v>189</v>
      </c>
      <c r="D2" s="5">
        <f>Inventory!H2</f>
        <v>30</v>
      </c>
      <c r="E2" s="5" t="str">
        <f>IF(D2=40,"PASS","CHECK")</f>
        <v>CHECK</v>
      </c>
      <c r="F2" s="5" t="s">
        <v>190</v>
      </c>
    </row>
    <row r="3" spans="1:6" ht="29" x14ac:dyDescent="0.35">
      <c r="A3" s="1" t="s">
        <v>191</v>
      </c>
      <c r="B3" s="1" t="s">
        <v>192</v>
      </c>
      <c r="C3" s="1" t="s">
        <v>193</v>
      </c>
      <c r="D3" s="1" t="s">
        <v>194</v>
      </c>
      <c r="E3" s="1"/>
      <c r="F3" s="1"/>
    </row>
    <row r="4" spans="1:6" ht="29" x14ac:dyDescent="0.35">
      <c r="A4" s="5" t="s">
        <v>195</v>
      </c>
      <c r="B4" s="5" t="s">
        <v>162</v>
      </c>
      <c r="C4" s="5" t="s">
        <v>196</v>
      </c>
      <c r="D4" s="5">
        <f>PurchaseOrders!H2</f>
        <v>30</v>
      </c>
      <c r="E4" s="5" t="str">
        <f>IF(D4=30,"PASS","CHECK")</f>
        <v>PASS</v>
      </c>
      <c r="F4" s="5" t="s">
        <v>197</v>
      </c>
    </row>
    <row r="5" spans="1:6" ht="43.5" x14ac:dyDescent="0.35">
      <c r="A5" s="1" t="s">
        <v>198</v>
      </c>
      <c r="B5" s="1" t="s">
        <v>199</v>
      </c>
      <c r="C5" s="1" t="s">
        <v>200</v>
      </c>
      <c r="D5" s="1" t="s">
        <v>194</v>
      </c>
      <c r="E5" s="1"/>
      <c r="F5" s="1"/>
    </row>
    <row r="6" spans="1:6" ht="29" x14ac:dyDescent="0.35">
      <c r="A6" s="5" t="s">
        <v>201</v>
      </c>
      <c r="B6" s="5" t="s">
        <v>202</v>
      </c>
      <c r="C6" s="5" t="s">
        <v>203</v>
      </c>
      <c r="D6" s="5" t="s">
        <v>194</v>
      </c>
      <c r="E6" s="5"/>
      <c r="F6" s="5"/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3DDBD-0C54-4112-933A-639C4A87CB8C}">
  <dimension ref="A1:G4"/>
  <sheetViews>
    <sheetView workbookViewId="0">
      <selection activeCell="G2" sqref="G2:G4"/>
    </sheetView>
  </sheetViews>
  <sheetFormatPr defaultRowHeight="14.5" x14ac:dyDescent="0.35"/>
  <cols>
    <col min="1" max="1" width="13.54296875" customWidth="1"/>
    <col min="2" max="2" width="13.08984375" customWidth="1"/>
    <col min="4" max="4" width="12.54296875" customWidth="1"/>
    <col min="5" max="5" width="13.54296875" customWidth="1"/>
    <col min="6" max="6" width="14.90625" customWidth="1"/>
    <col min="7" max="7" width="22.6328125" customWidth="1"/>
  </cols>
  <sheetData>
    <row r="1" spans="1:7" x14ac:dyDescent="0.35">
      <c r="A1" s="10" t="s">
        <v>212</v>
      </c>
      <c r="B1" s="10" t="s">
        <v>213</v>
      </c>
      <c r="C1" s="10" t="s">
        <v>65</v>
      </c>
      <c r="D1" s="10" t="s">
        <v>34</v>
      </c>
      <c r="E1" s="10" t="s">
        <v>178</v>
      </c>
      <c r="F1" s="10" t="s">
        <v>214</v>
      </c>
      <c r="G1" s="10" t="s">
        <v>218</v>
      </c>
    </row>
    <row r="2" spans="1:7" x14ac:dyDescent="0.35">
      <c r="A2" t="s">
        <v>40</v>
      </c>
      <c r="B2" t="s">
        <v>41</v>
      </c>
      <c r="C2" cm="1">
        <f t="array" ref="C2">_xlfn.XLOOKUP(1,(Inventory!B:B='Allocation Practice'!A2)*(Inventory!C:C='Allocation Practice'!B2),Inventory!H:H,"NotFound")</f>
        <v>30</v>
      </c>
      <c r="D2">
        <v>50</v>
      </c>
      <c r="E2">
        <f>MIN(C2,$D$2)</f>
        <v>30</v>
      </c>
      <c r="F2">
        <f>MAX(0,$D$2-SUM($E$2:E2))</f>
        <v>20</v>
      </c>
      <c r="G2">
        <f>SUMIFS(Reservations!$G:$G,Reservations!$F:$F,'Allocation Practice'!A2,Reservations!E:E,'Allocation Practice'!B2,Reservations!H:H,"Confirmed")</f>
        <v>10</v>
      </c>
    </row>
    <row r="3" spans="1:7" x14ac:dyDescent="0.35">
      <c r="A3" t="s">
        <v>44</v>
      </c>
      <c r="B3" t="s">
        <v>41</v>
      </c>
      <c r="C3" cm="1">
        <f t="array" ref="C3">_xlfn.XLOOKUP(1,(Inventory!B:B='Allocation Practice'!A3)*(Inventory!C:C='Allocation Practice'!B3),Inventory!H:H,"NotFound")</f>
        <v>30</v>
      </c>
      <c r="E3">
        <f>MIN(C3,MAX(0,$D$2-SUM($E$2:E2)))</f>
        <v>20</v>
      </c>
      <c r="F3">
        <f>MAX(0,$D$2-SUM($E$2:E3))</f>
        <v>0</v>
      </c>
      <c r="G3">
        <f>SUMIFS(Reservations!$G:$G,Reservations!$F:$F,'Allocation Practice'!A3,Reservations!E:E,'Allocation Practice'!B3,Reservations!H:H,"Confirmed")</f>
        <v>0</v>
      </c>
    </row>
    <row r="4" spans="1:7" x14ac:dyDescent="0.35">
      <c r="A4" t="s">
        <v>69</v>
      </c>
      <c r="B4" t="s">
        <v>41</v>
      </c>
      <c r="C4" cm="1">
        <f t="array" ref="C4">_xlfn.XLOOKUP(1,(Inventory!B:B='Allocation Practice'!A4)*(Inventory!C:C='Allocation Practice'!B4),Inventory!H:H,"NotFound")</f>
        <v>30</v>
      </c>
      <c r="E4">
        <f>MIN(C4,MAX(0,$D$2-SUM($E$2:E3)))</f>
        <v>0</v>
      </c>
      <c r="F4">
        <f>MAX(0,$D$2-SUM($E$2:E4))</f>
        <v>0</v>
      </c>
      <c r="G4">
        <f>SUMIFS(Reservations!$G:$G,Reservations!$F:$F,'Allocation Practice'!A4,Reservations!E:E,'Allocation Practice'!B4,Reservations!H:H,"Confirmed")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D2B57-CA6C-4105-B275-F17B52A4E4B5}">
  <dimension ref="A1:G4"/>
  <sheetViews>
    <sheetView workbookViewId="0">
      <selection activeCell="G3" sqref="G3"/>
    </sheetView>
  </sheetViews>
  <sheetFormatPr defaultRowHeight="14.5" x14ac:dyDescent="0.35"/>
  <cols>
    <col min="3" max="3" width="15.08984375" customWidth="1"/>
    <col min="4" max="4" width="12.81640625" customWidth="1"/>
    <col min="5" max="5" width="14" customWidth="1"/>
    <col min="6" max="6" width="17.26953125" customWidth="1"/>
    <col min="7" max="7" width="14.54296875" customWidth="1"/>
  </cols>
  <sheetData>
    <row r="1" spans="1:7" x14ac:dyDescent="0.35">
      <c r="A1" t="s">
        <v>204</v>
      </c>
      <c r="B1" t="s">
        <v>205</v>
      </c>
      <c r="C1" t="s">
        <v>206</v>
      </c>
      <c r="D1" t="s">
        <v>207</v>
      </c>
      <c r="E1" t="s">
        <v>34</v>
      </c>
      <c r="F1" t="s">
        <v>208</v>
      </c>
      <c r="G1" t="s">
        <v>178</v>
      </c>
    </row>
    <row r="2" spans="1:7" x14ac:dyDescent="0.35">
      <c r="A2" t="s">
        <v>209</v>
      </c>
      <c r="B2">
        <v>5</v>
      </c>
      <c r="C2">
        <v>0</v>
      </c>
      <c r="D2">
        <f>IF(C2&lt;=$F$2,B2,0)</f>
        <v>5</v>
      </c>
      <c r="E2">
        <v>20</v>
      </c>
      <c r="F2">
        <v>3</v>
      </c>
      <c r="G2">
        <f>MIN(D2,$E$2)</f>
        <v>5</v>
      </c>
    </row>
    <row r="3" spans="1:7" x14ac:dyDescent="0.35">
      <c r="A3" t="s">
        <v>210</v>
      </c>
      <c r="B3">
        <v>10</v>
      </c>
      <c r="C3">
        <v>2</v>
      </c>
      <c r="D3">
        <f t="shared" ref="D3:D4" si="0">IF(C3&lt;=$F$2,B3,0)</f>
        <v>10</v>
      </c>
      <c r="G3">
        <f t="shared" ref="G3:G4" si="1">MIN(D3,$E$2)</f>
        <v>10</v>
      </c>
    </row>
    <row r="4" spans="1:7" x14ac:dyDescent="0.35">
      <c r="A4" t="s">
        <v>211</v>
      </c>
      <c r="B4">
        <v>20</v>
      </c>
      <c r="C4">
        <v>6</v>
      </c>
      <c r="D4">
        <f t="shared" si="0"/>
        <v>0</v>
      </c>
      <c r="G4">
        <f t="shared" si="1"/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B9E04-A662-43D3-B605-09B97E494D2D}">
  <dimension ref="A1:F18"/>
  <sheetViews>
    <sheetView zoomScaleNormal="100" zoomScaleSheetLayoutView="64" workbookViewId="0">
      <selection activeCell="E24" sqref="E24"/>
    </sheetView>
  </sheetViews>
  <sheetFormatPr defaultRowHeight="14.5" x14ac:dyDescent="0.35"/>
  <cols>
    <col min="1" max="1" width="28.08984375" customWidth="1"/>
    <col min="2" max="2" width="25.453125" customWidth="1"/>
    <col min="3" max="3" width="20.453125" customWidth="1"/>
    <col min="4" max="4" width="18.453125" customWidth="1"/>
  </cols>
  <sheetData>
    <row r="1" spans="1:6" ht="21" x14ac:dyDescent="0.5">
      <c r="A1" s="18" t="s">
        <v>245</v>
      </c>
      <c r="B1" s="18"/>
      <c r="C1" s="18"/>
      <c r="D1" s="18"/>
      <c r="E1" s="18"/>
      <c r="F1" s="18"/>
    </row>
    <row r="2" spans="1:6" ht="18.5" x14ac:dyDescent="0.45">
      <c r="A2" s="24" t="s">
        <v>246</v>
      </c>
      <c r="B2" s="24" t="s">
        <v>247</v>
      </c>
    </row>
    <row r="3" spans="1:6" ht="23.5" x14ac:dyDescent="0.55000000000000004">
      <c r="A3" s="26">
        <f>SUMIFS(SalesOrders!$I:$I,SalesOrders!$K:$K,"Eligible")</f>
        <v>150</v>
      </c>
      <c r="B3" s="26">
        <f>SUMIFS(SalesOrders!$O:$O,SalesOrders!$K:$K,"Eligible")</f>
        <v>108</v>
      </c>
      <c r="C3" s="25"/>
    </row>
    <row r="4" spans="1:6" ht="18.5" x14ac:dyDescent="0.45">
      <c r="A4" s="24" t="s">
        <v>248</v>
      </c>
      <c r="B4" s="24" t="s">
        <v>260</v>
      </c>
    </row>
    <row r="5" spans="1:6" ht="23.5" x14ac:dyDescent="0.55000000000000004">
      <c r="A5" s="26">
        <f>SUMIFS(SalesOrders!$P:$P,SalesOrders!$K:$K,"Eligible")</f>
        <v>32</v>
      </c>
      <c r="B5" s="27">
        <f>IFERROR((A3-A5)/A3,0)</f>
        <v>0.78666666666666663</v>
      </c>
    </row>
    <row r="6" spans="1:6" ht="15.5" x14ac:dyDescent="0.35">
      <c r="A6" s="22" t="s">
        <v>256</v>
      </c>
      <c r="B6" s="22" t="s">
        <v>257</v>
      </c>
      <c r="C6" s="22" t="s">
        <v>258</v>
      </c>
      <c r="D6" s="22" t="s">
        <v>259</v>
      </c>
    </row>
    <row r="7" spans="1:6" x14ac:dyDescent="0.35">
      <c r="A7" s="23" t="s">
        <v>41</v>
      </c>
      <c r="B7" s="23">
        <f>SUMIFS(SalesOrders!$M:$M,SalesOrders!$H:$H,A7,SalesOrders!$K:$K,"Eligible")</f>
        <v>90</v>
      </c>
      <c r="C7" s="23">
        <f>SUMIFS(SalesOrders!$O:$O,SalesOrders!$H:$H,A7,SalesOrders!$K:$K,"Eligible")</f>
        <v>60</v>
      </c>
      <c r="D7" s="23">
        <f>SUMIFS(SalesOrders!$P:$P,SalesOrders!$H:$H,A7,SalesOrders!$K:$K,"Eligible")</f>
        <v>30</v>
      </c>
    </row>
    <row r="8" spans="1:6" x14ac:dyDescent="0.35">
      <c r="A8" s="23" t="s">
        <v>50</v>
      </c>
      <c r="B8" s="23">
        <f>SUMIFS(SalesOrders!$M:$M,SalesOrders!$H:$H,A8,SalesOrders!$K:$K,"Eligible")</f>
        <v>30</v>
      </c>
      <c r="C8" s="23">
        <f>SUMIFS(SalesOrders!$O:$O,SalesOrders!$H:$H,A8,SalesOrders!$K:$K,"Eligible")</f>
        <v>30</v>
      </c>
      <c r="D8" s="23">
        <f>SUMIFS(SalesOrders!$P:$P,SalesOrders!$H:$H,A8,SalesOrders!$K:$K,"Eligible")</f>
        <v>0</v>
      </c>
    </row>
    <row r="9" spans="1:6" x14ac:dyDescent="0.35">
      <c r="A9" s="23" t="s">
        <v>55</v>
      </c>
      <c r="B9" s="23">
        <f>SUMIFS(SalesOrders!$M:$M,SalesOrders!$H:$H,A9,SalesOrders!$K:$K,"Eligible")</f>
        <v>20</v>
      </c>
      <c r="C9" s="23">
        <f>SUMIFS(SalesOrders!$O:$O,SalesOrders!$H:$H,A9,SalesOrders!$K:$K,"Eligible")</f>
        <v>18</v>
      </c>
      <c r="D9" s="23">
        <f>SUMIFS(SalesOrders!$P:$P,SalesOrders!$H:$H,A9,SalesOrders!$K:$K,"Eligible")</f>
        <v>2</v>
      </c>
    </row>
    <row r="10" spans="1:6" ht="15.5" x14ac:dyDescent="0.35">
      <c r="A10" s="22" t="s">
        <v>249</v>
      </c>
      <c r="B10" s="22">
        <f>SUM(B7:B9)</f>
        <v>140</v>
      </c>
      <c r="C10" s="22">
        <f t="shared" ref="C10:D10" si="0">SUM(C7:C9)</f>
        <v>108</v>
      </c>
      <c r="D10" s="22">
        <f t="shared" si="0"/>
        <v>32</v>
      </c>
    </row>
    <row r="12" spans="1:6" ht="18.5" x14ac:dyDescent="0.45">
      <c r="A12" s="21" t="s">
        <v>250</v>
      </c>
    </row>
    <row r="14" spans="1:6" x14ac:dyDescent="0.35">
      <c r="A14" s="19" t="s">
        <v>251</v>
      </c>
      <c r="B14" s="19"/>
      <c r="C14" s="10"/>
      <c r="D14" s="10"/>
    </row>
    <row r="15" spans="1:6" x14ac:dyDescent="0.35">
      <c r="A15" s="20" t="s">
        <v>252</v>
      </c>
      <c r="B15" s="20"/>
      <c r="C15" s="10"/>
      <c r="D15" s="10"/>
    </row>
    <row r="16" spans="1:6" x14ac:dyDescent="0.35">
      <c r="A16" s="19" t="s">
        <v>253</v>
      </c>
      <c r="B16" s="19"/>
      <c r="C16" s="19"/>
      <c r="D16" s="19"/>
    </row>
    <row r="17" spans="1:4" x14ac:dyDescent="0.35">
      <c r="A17" s="20" t="s">
        <v>254</v>
      </c>
      <c r="B17" s="20"/>
      <c r="C17" s="20"/>
      <c r="D17" s="20"/>
    </row>
    <row r="18" spans="1:4" x14ac:dyDescent="0.35">
      <c r="A18" s="19" t="s">
        <v>255</v>
      </c>
      <c r="B18" s="19"/>
      <c r="C18" s="19"/>
      <c r="D18" s="10"/>
    </row>
  </sheetData>
  <mergeCells count="6">
    <mergeCell ref="A1:F1"/>
    <mergeCell ref="A14:B14"/>
    <mergeCell ref="A15:B15"/>
    <mergeCell ref="A16:D16"/>
    <mergeCell ref="A17:D17"/>
    <mergeCell ref="A18:C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START_HERE</vt:lpstr>
      <vt:lpstr>SalesOrders</vt:lpstr>
      <vt:lpstr>Inventory</vt:lpstr>
      <vt:lpstr>Locations</vt:lpstr>
      <vt:lpstr>Suppliers</vt:lpstr>
      <vt:lpstr>Purchasing_Recommendations</vt:lpstr>
      <vt:lpstr>PurchaseOrders</vt:lpstr>
      <vt:lpstr>OnTheWater</vt:lpstr>
      <vt:lpstr>Incoming_Supply_Analysis</vt:lpstr>
      <vt:lpstr>Assumptions</vt:lpstr>
      <vt:lpstr>Reservations</vt:lpstr>
      <vt:lpstr>Allocations</vt:lpstr>
      <vt:lpstr>Allocation_Proposals</vt:lpstr>
      <vt:lpstr>TestCases</vt:lpstr>
      <vt:lpstr>Allocation Practice</vt:lpstr>
      <vt:lpstr>Allocation Practice illustratio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Cherie Iyke</cp:lastModifiedBy>
  <dcterms:created xsi:type="dcterms:W3CDTF">2026-10-10T08:53:00Z</dcterms:created>
  <dcterms:modified xsi:type="dcterms:W3CDTF">2026-10-17T02:22:21Z</dcterms:modified>
</cp:coreProperties>
</file>